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rn\OneDrive\Documents\Data Science\Data-Science-Project\"/>
    </mc:Choice>
  </mc:AlternateContent>
  <xr:revisionPtr revIDLastSave="0" documentId="13_ncr:1_{2F8503DC-5A41-46F8-9A51-59E77C080B68}" xr6:coauthVersionLast="47" xr6:coauthVersionMax="47" xr10:uidLastSave="{00000000-0000-0000-0000-000000000000}"/>
  <bookViews>
    <workbookView xWindow="28680" yWindow="-120" windowWidth="29040" windowHeight="16440" xr2:uid="{79087466-AC16-4ABA-8EBE-3A3B69E6A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I6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4" i="1"/>
  <c r="E3" i="1"/>
  <c r="E2" i="1"/>
  <c r="D65" i="1"/>
  <c r="F65" i="1"/>
  <c r="B65" i="1"/>
  <c r="E65" i="1" l="1"/>
  <c r="E66" i="1" s="1"/>
</calcChain>
</file>

<file path=xl/sharedStrings.xml><?xml version="1.0" encoding="utf-8"?>
<sst xmlns="http://schemas.openxmlformats.org/spreadsheetml/2006/main" count="97" uniqueCount="97">
  <si>
    <t>Sale Year/Quarter</t>
  </si>
  <si>
    <t>Antrim and Newtownabbey</t>
  </si>
  <si>
    <t>Antrim and Newtownabbey HPI</t>
  </si>
  <si>
    <t>Antrim and Newtownabbey Standardised Price</t>
  </si>
  <si>
    <t>Ards and North Down</t>
  </si>
  <si>
    <t>Ards and North Down HPI</t>
  </si>
  <si>
    <t>Ards and North Down Standardised Price</t>
  </si>
  <si>
    <t>Armagh City, Banbridge and Craigavon</t>
  </si>
  <si>
    <t>Armagh City, Banbridge and Craigavon HPI</t>
  </si>
  <si>
    <t>Armagh City, Banbridge and Craigavon Standardised Price</t>
  </si>
  <si>
    <t>Belfast</t>
  </si>
  <si>
    <t>Belfast HPI</t>
  </si>
  <si>
    <t>Belfast Standardised Price</t>
  </si>
  <si>
    <t>Causeway Coast and Glens</t>
  </si>
  <si>
    <t>Causeway Coast and Glens HPI</t>
  </si>
  <si>
    <t>Causeway Coast and Glens Standardised Price</t>
  </si>
  <si>
    <t>Derry City and Strabane</t>
  </si>
  <si>
    <t>Derry City and Strabane HPI</t>
  </si>
  <si>
    <t>Derry City and Strabane Standardised Price</t>
  </si>
  <si>
    <t>Fermanagh and Omagh</t>
  </si>
  <si>
    <t>Fermanagh and Omagh HPI</t>
  </si>
  <si>
    <t>Fermanagh and Omagh Standardised Price</t>
  </si>
  <si>
    <t>Lisburn and Castlereagh</t>
  </si>
  <si>
    <t>Lisburn and Castlereagh HPI</t>
  </si>
  <si>
    <t>Lisburn and Castlereagh Standardised Price</t>
  </si>
  <si>
    <t>Mid and East Antrim</t>
  </si>
  <si>
    <t>Mid and East Antrim HPI</t>
  </si>
  <si>
    <t>Mid and East Antrim Standardised Price</t>
  </si>
  <si>
    <t>Mid Ulster</t>
  </si>
  <si>
    <t>Mid Ulster Standardised HPI</t>
  </si>
  <si>
    <t>Mid Ulster Standardised Price</t>
  </si>
  <si>
    <t>Newry, Mourne and Down</t>
  </si>
  <si>
    <t>Newry, Mourne and Down HPI</t>
  </si>
  <si>
    <t>Newry, Mourne and Down Standardised Price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</si>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</sst>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0.0"/>
    <numFmt numFmtId="166" formatCode="&quot;£&quot;#,##0"/>
    <numFmt numFmtId="168" formatCode="&quot;£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0"/>
      <name val="Arial"/>
      <family val="2"/>
    </font>
    <font>
      <sz val="12"/>
      <color theme="0"/>
      <name val="Arial"/>
      <family val="2"/>
    </font>
    <font>
      <sz val="12"/>
      <color rgb="FF085A69"/>
      <name val="Arial"/>
      <family val="2"/>
    </font>
    <font>
      <b/>
      <sz val="12"/>
      <color rgb="FF085A6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85A6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893A2"/>
      </left>
      <right/>
      <top/>
      <bottom/>
      <diagonal/>
    </border>
    <border>
      <left/>
      <right/>
      <top style="thin">
        <color rgb="FF0893A2"/>
      </top>
      <bottom/>
      <diagonal/>
    </border>
    <border>
      <left/>
      <right style="thin">
        <color rgb="FF0893A2"/>
      </right>
      <top style="thin">
        <color rgb="FF0893A2"/>
      </top>
      <bottom/>
      <diagonal/>
    </border>
    <border>
      <left style="thin">
        <color rgb="FF085A69"/>
      </left>
      <right style="thin">
        <color rgb="FF085A69"/>
      </right>
      <top/>
      <bottom style="thin">
        <color rgb="FF085A69"/>
      </bottom>
      <diagonal/>
    </border>
    <border>
      <left style="thin">
        <color rgb="FF085A69"/>
      </left>
      <right style="thin">
        <color rgb="FF085A69"/>
      </right>
      <top style="thin">
        <color rgb="FF0893A2"/>
      </top>
      <bottom style="thin">
        <color rgb="FF0893A2"/>
      </bottom>
      <diagonal/>
    </border>
    <border>
      <left style="thin">
        <color rgb="FF085A69"/>
      </left>
      <right style="thin">
        <color rgb="FF085A69"/>
      </right>
      <top/>
      <bottom/>
      <diagonal/>
    </border>
  </borders>
  <cellStyleXfs count="2">
    <xf numFmtId="0" fontId="0" fillId="0" borderId="0"/>
    <xf numFmtId="164" fontId="3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64" fontId="4" fillId="2" borderId="0" xfId="1" applyFont="1" applyFill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1" xfId="0" applyFont="1" applyFill="1" applyBorder="1"/>
    <xf numFmtId="3" fontId="5" fillId="3" borderId="4" xfId="0" applyNumberFormat="1" applyFont="1" applyFill="1" applyBorder="1"/>
    <xf numFmtId="165" fontId="5" fillId="4" borderId="5" xfId="1" applyNumberFormat="1" applyFont="1" applyFill="1" applyBorder="1"/>
    <xf numFmtId="166" fontId="5" fillId="4" borderId="5" xfId="1" applyNumberFormat="1" applyFont="1" applyFill="1" applyBorder="1"/>
    <xf numFmtId="165" fontId="5" fillId="0" borderId="5" xfId="1" applyNumberFormat="1" applyFont="1" applyBorder="1"/>
    <xf numFmtId="166" fontId="5" fillId="0" borderId="5" xfId="1" applyNumberFormat="1" applyFont="1" applyBorder="1"/>
    <xf numFmtId="0" fontId="2" fillId="2" borderId="0" xfId="0" applyFont="1" applyFill="1"/>
    <xf numFmtId="166" fontId="5" fillId="4" borderId="6" xfId="1" applyNumberFormat="1" applyFont="1" applyFill="1" applyBorder="1"/>
    <xf numFmtId="3" fontId="5" fillId="4" borderId="5" xfId="1" applyNumberFormat="1" applyFont="1" applyFill="1" applyBorder="1"/>
    <xf numFmtId="3" fontId="1" fillId="0" borderId="0" xfId="0" applyNumberFormat="1" applyFont="1"/>
    <xf numFmtId="166" fontId="1" fillId="0" borderId="0" xfId="0" applyNumberFormat="1" applyFont="1"/>
    <xf numFmtId="168" fontId="0" fillId="0" borderId="0" xfId="0" applyNumberFormat="1"/>
    <xf numFmtId="166" fontId="5" fillId="0" borderId="6" xfId="1" applyNumberFormat="1" applyFont="1" applyBorder="1"/>
    <xf numFmtId="166" fontId="6" fillId="0" borderId="6" xfId="1" applyNumberFormat="1" applyFont="1" applyBorder="1"/>
  </cellXfs>
  <cellStyles count="2">
    <cellStyle name="Normal" xfId="0" builtinId="0"/>
    <cellStyle name="Normal 5" xfId="1" xr:uid="{84C5057C-7CE8-4CF6-9C25-2E1838C1E9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3D0E-6EA5-4966-A73F-F2D83EACAFB3}">
  <dimension ref="A1:AJ66"/>
  <sheetViews>
    <sheetView tabSelected="1" topLeftCell="A41" workbookViewId="0">
      <selection activeCell="J68" sqref="J68"/>
    </sheetView>
  </sheetViews>
  <sheetFormatPr defaultRowHeight="15" x14ac:dyDescent="0.25"/>
  <cols>
    <col min="2" max="2" width="18.7109375" customWidth="1"/>
    <col min="3" max="3" width="13.85546875" customWidth="1"/>
    <col min="4" max="4" width="20.5703125" customWidth="1"/>
    <col min="5" max="5" width="21.140625" customWidth="1"/>
    <col min="8" max="8" width="15.85546875" customWidth="1"/>
    <col min="9" max="9" width="25.5703125" customWidth="1"/>
    <col min="10" max="10" width="15.28515625" customWidth="1"/>
    <col min="11" max="11" width="16" customWidth="1"/>
  </cols>
  <sheetData>
    <row r="1" spans="1:36" ht="135.75" x14ac:dyDescent="0.25">
      <c r="A1" s="1" t="s">
        <v>0</v>
      </c>
      <c r="B1" s="2" t="s">
        <v>1</v>
      </c>
      <c r="C1" s="3" t="s">
        <v>2</v>
      </c>
      <c r="D1" s="3" t="s">
        <v>3</v>
      </c>
      <c r="E1" s="3"/>
      <c r="F1" s="4" t="s">
        <v>4</v>
      </c>
      <c r="G1" s="3" t="s">
        <v>5</v>
      </c>
      <c r="H1" s="3" t="s">
        <v>6</v>
      </c>
      <c r="I1" s="3"/>
      <c r="J1" s="2" t="s">
        <v>7</v>
      </c>
      <c r="K1" s="3" t="s">
        <v>8</v>
      </c>
      <c r="L1" s="3" t="s">
        <v>9</v>
      </c>
      <c r="M1" s="2" t="s">
        <v>10</v>
      </c>
      <c r="N1" s="3" t="s">
        <v>11</v>
      </c>
      <c r="O1" s="3" t="s">
        <v>12</v>
      </c>
      <c r="P1" s="2" t="s">
        <v>13</v>
      </c>
      <c r="Q1" s="3" t="s">
        <v>14</v>
      </c>
      <c r="R1" s="3" t="s">
        <v>15</v>
      </c>
      <c r="S1" s="2" t="s">
        <v>16</v>
      </c>
      <c r="T1" s="3" t="s">
        <v>17</v>
      </c>
      <c r="U1" s="3" t="s">
        <v>18</v>
      </c>
      <c r="V1" s="2" t="s">
        <v>19</v>
      </c>
      <c r="W1" s="3" t="s">
        <v>20</v>
      </c>
      <c r="X1" s="3" t="s">
        <v>21</v>
      </c>
      <c r="Y1" s="2" t="s">
        <v>22</v>
      </c>
      <c r="Z1" s="3" t="s">
        <v>23</v>
      </c>
      <c r="AA1" s="3" t="s">
        <v>24</v>
      </c>
      <c r="AB1" s="2" t="s">
        <v>25</v>
      </c>
      <c r="AC1" s="3" t="s">
        <v>26</v>
      </c>
      <c r="AD1" s="3" t="s">
        <v>27</v>
      </c>
      <c r="AE1" s="2" t="s">
        <v>28</v>
      </c>
      <c r="AF1" s="3" t="s">
        <v>29</v>
      </c>
      <c r="AG1" s="3" t="s">
        <v>30</v>
      </c>
      <c r="AH1" s="2" t="s">
        <v>31</v>
      </c>
      <c r="AI1" s="3" t="s">
        <v>32</v>
      </c>
      <c r="AJ1" s="3" t="s">
        <v>33</v>
      </c>
    </row>
    <row r="2" spans="1:36" ht="15.75" x14ac:dyDescent="0.25">
      <c r="A2" s="5" t="s">
        <v>34</v>
      </c>
      <c r="B2" s="6">
        <v>217</v>
      </c>
      <c r="C2" s="7">
        <v>79.304240962827819</v>
      </c>
      <c r="D2" s="13">
        <v>131637.120778179</v>
      </c>
      <c r="E2" s="12">
        <f>B2 * D2</f>
        <v>28565255.208864842</v>
      </c>
      <c r="F2" s="6">
        <v>286</v>
      </c>
      <c r="G2" s="9">
        <v>86.819062824415056</v>
      </c>
      <c r="H2" s="10">
        <v>157804.09227803012</v>
      </c>
      <c r="I2" s="17">
        <f>F2*H2</f>
        <v>45131970.391516611</v>
      </c>
      <c r="J2" s="6">
        <v>261</v>
      </c>
      <c r="K2" s="7">
        <v>77.857696291151569</v>
      </c>
      <c r="L2" s="8">
        <v>118696.23781625342</v>
      </c>
      <c r="M2" s="6">
        <v>599</v>
      </c>
      <c r="N2" s="9">
        <v>81.095489984131149</v>
      </c>
      <c r="O2" s="10">
        <v>121149.4979909649</v>
      </c>
      <c r="P2" s="6">
        <v>191</v>
      </c>
      <c r="Q2" s="7">
        <v>69.865076591599419</v>
      </c>
      <c r="R2" s="8">
        <v>127378.23440827777</v>
      </c>
      <c r="S2" s="6">
        <v>137</v>
      </c>
      <c r="T2" s="9">
        <v>80.751948453482157</v>
      </c>
      <c r="U2" s="10">
        <v>114149.23657799359</v>
      </c>
      <c r="V2" s="6">
        <v>80</v>
      </c>
      <c r="W2" s="7">
        <v>76.688610721142851</v>
      </c>
      <c r="X2" s="8">
        <v>120291.19123981752</v>
      </c>
      <c r="Y2" s="6">
        <v>212</v>
      </c>
      <c r="Z2" s="9">
        <v>79.858728563898069</v>
      </c>
      <c r="AA2" s="10">
        <v>154880.49375040762</v>
      </c>
      <c r="AB2" s="6">
        <v>211</v>
      </c>
      <c r="AC2" s="7">
        <v>78.674143756162096</v>
      </c>
      <c r="AD2" s="8">
        <v>115430.8420272026</v>
      </c>
      <c r="AE2" s="6">
        <v>140</v>
      </c>
      <c r="AF2" s="9">
        <v>75.089445960095475</v>
      </c>
      <c r="AG2" s="10">
        <v>115280.0993957368</v>
      </c>
      <c r="AH2" s="6">
        <v>170</v>
      </c>
      <c r="AI2" s="7">
        <v>78.659830099106969</v>
      </c>
      <c r="AJ2" s="8">
        <v>136481.59302098132</v>
      </c>
    </row>
    <row r="3" spans="1:36" ht="15.75" x14ac:dyDescent="0.25">
      <c r="A3" s="5" t="s">
        <v>35</v>
      </c>
      <c r="B3" s="6">
        <v>245</v>
      </c>
      <c r="C3" s="7">
        <v>78.38744264110241</v>
      </c>
      <c r="D3" s="13">
        <v>130115.32711442329</v>
      </c>
      <c r="E3" s="12">
        <f xml:space="preserve"> B3 * D3</f>
        <v>31878255.143033706</v>
      </c>
      <c r="F3" s="6">
        <v>269</v>
      </c>
      <c r="G3" s="9">
        <v>86.551289251657096</v>
      </c>
      <c r="H3" s="10">
        <v>157317.38159249123</v>
      </c>
      <c r="I3" s="17">
        <f t="shared" ref="I3:I66" si="0">F3*H3</f>
        <v>42318375.648380145</v>
      </c>
      <c r="J3" s="6">
        <v>298</v>
      </c>
      <c r="K3" s="7">
        <v>75.186785415389238</v>
      </c>
      <c r="L3" s="8">
        <v>114624.35940734224</v>
      </c>
      <c r="M3" s="6">
        <v>604</v>
      </c>
      <c r="N3" s="9">
        <v>80.005027760505442</v>
      </c>
      <c r="O3" s="10">
        <v>119520.44376123871</v>
      </c>
      <c r="P3" s="6">
        <v>210</v>
      </c>
      <c r="Q3" s="7">
        <v>71.564440143559224</v>
      </c>
      <c r="R3" s="8">
        <v>130476.51955196638</v>
      </c>
      <c r="S3" s="6">
        <v>178</v>
      </c>
      <c r="T3" s="9">
        <v>75.698996584493557</v>
      </c>
      <c r="U3" s="10">
        <v>107006.49130240857</v>
      </c>
      <c r="V3" s="6">
        <v>95</v>
      </c>
      <c r="W3" s="7">
        <v>74.510890558383963</v>
      </c>
      <c r="X3" s="8">
        <v>116875.2921890734</v>
      </c>
      <c r="Y3" s="6">
        <v>244</v>
      </c>
      <c r="Z3" s="9">
        <v>78.776878638535223</v>
      </c>
      <c r="AA3" s="10">
        <v>152782.32046844799</v>
      </c>
      <c r="AB3" s="6">
        <v>238</v>
      </c>
      <c r="AC3" s="7">
        <v>83.730106860333308</v>
      </c>
      <c r="AD3" s="8">
        <v>122848.95998196257</v>
      </c>
      <c r="AE3" s="6">
        <v>150</v>
      </c>
      <c r="AF3" s="9">
        <v>74.513899774262484</v>
      </c>
      <c r="AG3" s="10">
        <v>114396.49956807362</v>
      </c>
      <c r="AH3" s="6">
        <v>165</v>
      </c>
      <c r="AI3" s="7">
        <v>77.017159404505691</v>
      </c>
      <c r="AJ3" s="8">
        <v>133631.41761473403</v>
      </c>
    </row>
    <row r="4" spans="1:36" ht="15.75" x14ac:dyDescent="0.25">
      <c r="A4" s="5" t="s">
        <v>36</v>
      </c>
      <c r="B4" s="6">
        <v>269</v>
      </c>
      <c r="C4" s="7">
        <v>78.813143656796726</v>
      </c>
      <c r="D4" s="13">
        <v>130821.94829051668</v>
      </c>
      <c r="E4" s="12">
        <f>B4*D4</f>
        <v>35191104.090148985</v>
      </c>
      <c r="F4" s="6">
        <v>286</v>
      </c>
      <c r="G4" s="9">
        <v>85.923266111397155</v>
      </c>
      <c r="H4" s="10">
        <v>156175.87397476044</v>
      </c>
      <c r="I4" s="17">
        <f t="shared" si="0"/>
        <v>44666299.956781484</v>
      </c>
      <c r="J4" s="6">
        <v>224</v>
      </c>
      <c r="K4" s="7">
        <v>75.783076690881714</v>
      </c>
      <c r="L4" s="8">
        <v>115533.42215149199</v>
      </c>
      <c r="M4" s="6">
        <v>534</v>
      </c>
      <c r="N4" s="9">
        <v>77.460199316960825</v>
      </c>
      <c r="O4" s="10">
        <v>115718.6948789163</v>
      </c>
      <c r="P4" s="6">
        <v>400</v>
      </c>
      <c r="Q4" s="7">
        <v>65.944797534340907</v>
      </c>
      <c r="R4" s="8">
        <v>120230.76890673161</v>
      </c>
      <c r="S4" s="6">
        <v>178</v>
      </c>
      <c r="T4" s="9">
        <v>74.379457516965658</v>
      </c>
      <c r="U4" s="10">
        <v>105141.21894579273</v>
      </c>
      <c r="V4" s="6">
        <v>85</v>
      </c>
      <c r="W4" s="7">
        <v>77.790530456323907</v>
      </c>
      <c r="X4" s="8">
        <v>122019.62570158629</v>
      </c>
      <c r="Y4" s="6">
        <v>238</v>
      </c>
      <c r="Z4" s="9">
        <v>79.367477715352535</v>
      </c>
      <c r="AA4" s="10">
        <v>153927.74662625126</v>
      </c>
      <c r="AB4" s="6">
        <v>189</v>
      </c>
      <c r="AC4" s="7">
        <v>79.545770422835943</v>
      </c>
      <c r="AD4" s="8">
        <v>116709.69420485526</v>
      </c>
      <c r="AE4" s="6">
        <v>132</v>
      </c>
      <c r="AF4" s="9">
        <v>73.023545475128387</v>
      </c>
      <c r="AG4" s="10">
        <v>112108.4524325235</v>
      </c>
      <c r="AH4" s="6">
        <v>171</v>
      </c>
      <c r="AI4" s="7">
        <v>76.298540375836197</v>
      </c>
      <c r="AJ4" s="8">
        <v>132384.55158814296</v>
      </c>
    </row>
    <row r="5" spans="1:36" ht="15.75" x14ac:dyDescent="0.25">
      <c r="A5" s="5" t="s">
        <v>37</v>
      </c>
      <c r="B5" s="6">
        <v>270</v>
      </c>
      <c r="C5" s="7">
        <v>71.865066989569343</v>
      </c>
      <c r="D5" s="13">
        <v>119288.83484897236</v>
      </c>
      <c r="E5" s="12">
        <f t="shared" ref="E5:E64" si="1">B5*D5</f>
        <v>32207985.409222536</v>
      </c>
      <c r="F5" s="6">
        <v>305</v>
      </c>
      <c r="G5" s="9">
        <v>79.456035131626209</v>
      </c>
      <c r="H5" s="10">
        <v>144420.90356717719</v>
      </c>
      <c r="I5" s="17">
        <f t="shared" si="0"/>
        <v>44048375.58798904</v>
      </c>
      <c r="J5" s="6">
        <v>299</v>
      </c>
      <c r="K5" s="7">
        <v>72.783212236365458</v>
      </c>
      <c r="L5" s="8">
        <v>110960.04480189459</v>
      </c>
      <c r="M5" s="6">
        <v>606</v>
      </c>
      <c r="N5" s="9">
        <v>71.48696123080552</v>
      </c>
      <c r="O5" s="10">
        <v>106795.20485918976</v>
      </c>
      <c r="P5" s="6">
        <v>249</v>
      </c>
      <c r="Q5" s="7">
        <v>67.991732657238217</v>
      </c>
      <c r="R5" s="8">
        <v>123962.74766669337</v>
      </c>
      <c r="S5" s="6">
        <v>180</v>
      </c>
      <c r="T5" s="9">
        <v>69.366446285192779</v>
      </c>
      <c r="U5" s="10">
        <v>98054.932905358437</v>
      </c>
      <c r="V5" s="6">
        <v>116</v>
      </c>
      <c r="W5" s="7">
        <v>70.542555590093556</v>
      </c>
      <c r="X5" s="8">
        <v>110650.69461082219</v>
      </c>
      <c r="Y5" s="6">
        <v>231</v>
      </c>
      <c r="Z5" s="9">
        <v>74.244475043636982</v>
      </c>
      <c r="AA5" s="10">
        <v>143992.03643465848</v>
      </c>
      <c r="AB5" s="6">
        <v>229</v>
      </c>
      <c r="AC5" s="7">
        <v>75.722877978908826</v>
      </c>
      <c r="AD5" s="8">
        <v>111100.73969052825</v>
      </c>
      <c r="AE5" s="6">
        <v>148</v>
      </c>
      <c r="AF5" s="9">
        <v>68.946886513001886</v>
      </c>
      <c r="AG5" s="10">
        <v>105849.81455941664</v>
      </c>
      <c r="AH5" s="6">
        <v>181</v>
      </c>
      <c r="AI5" s="7">
        <v>73.406564941303671</v>
      </c>
      <c r="AJ5" s="8">
        <v>127366.7246517608</v>
      </c>
    </row>
    <row r="6" spans="1:36" ht="15.75" x14ac:dyDescent="0.25">
      <c r="A6" s="5" t="s">
        <v>38</v>
      </c>
      <c r="B6" s="6">
        <v>205</v>
      </c>
      <c r="C6" s="7">
        <v>69.077693584137165</v>
      </c>
      <c r="D6" s="13">
        <v>114662.07333949965</v>
      </c>
      <c r="E6" s="12">
        <f t="shared" si="1"/>
        <v>23505725.034597427</v>
      </c>
      <c r="F6" s="6">
        <v>235</v>
      </c>
      <c r="G6" s="9">
        <v>75.907239208246637</v>
      </c>
      <c r="H6" s="10">
        <v>137970.54000472464</v>
      </c>
      <c r="I6" s="17">
        <f t="shared" si="0"/>
        <v>32423076.901110291</v>
      </c>
      <c r="J6" s="6">
        <v>254</v>
      </c>
      <c r="K6" s="7">
        <v>70.196942056299321</v>
      </c>
      <c r="L6" s="8">
        <v>107017.20350329965</v>
      </c>
      <c r="M6" s="6">
        <v>585</v>
      </c>
      <c r="N6" s="9">
        <v>67.511757378314101</v>
      </c>
      <c r="O6" s="10">
        <v>100856.60147649457</v>
      </c>
      <c r="P6" s="6">
        <v>189</v>
      </c>
      <c r="Q6" s="7">
        <v>65.724228890793185</v>
      </c>
      <c r="R6" s="8">
        <v>119828.62743989872</v>
      </c>
      <c r="S6" s="6">
        <v>166</v>
      </c>
      <c r="T6" s="9">
        <v>72.594140879494645</v>
      </c>
      <c r="U6" s="10">
        <v>102617.53332432811</v>
      </c>
      <c r="V6" s="6">
        <v>85</v>
      </c>
      <c r="W6" s="7">
        <v>69.800050030266974</v>
      </c>
      <c r="X6" s="8">
        <v>109486.02521006197</v>
      </c>
      <c r="Y6" s="6">
        <v>209</v>
      </c>
      <c r="Z6" s="9">
        <v>70.058325319636808</v>
      </c>
      <c r="AA6" s="10">
        <v>135873.28789175491</v>
      </c>
      <c r="AB6" s="6">
        <v>195</v>
      </c>
      <c r="AC6" s="7">
        <v>65.861212374481553</v>
      </c>
      <c r="AD6" s="8">
        <v>96631.686579027664</v>
      </c>
      <c r="AE6" s="6">
        <v>124</v>
      </c>
      <c r="AF6" s="9">
        <v>70.426870746765445</v>
      </c>
      <c r="AG6" s="10">
        <v>108121.94118641365</v>
      </c>
      <c r="AH6" s="6">
        <v>154</v>
      </c>
      <c r="AI6" s="7">
        <v>69.399616549055736</v>
      </c>
      <c r="AJ6" s="8">
        <v>120414.32341929148</v>
      </c>
    </row>
    <row r="7" spans="1:36" ht="15.75" x14ac:dyDescent="0.25">
      <c r="A7" s="5" t="s">
        <v>39</v>
      </c>
      <c r="B7" s="6">
        <v>224</v>
      </c>
      <c r="C7" s="7">
        <v>69.747948852408783</v>
      </c>
      <c r="D7" s="13">
        <v>115774.63015399633</v>
      </c>
      <c r="E7" s="12">
        <f t="shared" si="1"/>
        <v>25933517.15449518</v>
      </c>
      <c r="F7" s="6">
        <v>294</v>
      </c>
      <c r="G7" s="9">
        <v>72.523363868407102</v>
      </c>
      <c r="H7" s="10">
        <v>131819.93944519843</v>
      </c>
      <c r="I7" s="17">
        <f t="shared" si="0"/>
        <v>38755062.196888335</v>
      </c>
      <c r="J7" s="6">
        <v>288</v>
      </c>
      <c r="K7" s="7">
        <v>65.281169892089864</v>
      </c>
      <c r="L7" s="8">
        <v>99522.971209660158</v>
      </c>
      <c r="M7" s="6">
        <v>573</v>
      </c>
      <c r="N7" s="9">
        <v>67.719988567657481</v>
      </c>
      <c r="O7" s="10">
        <v>101167.68047805125</v>
      </c>
      <c r="P7" s="6">
        <v>201</v>
      </c>
      <c r="Q7" s="7">
        <v>62.462943523134044</v>
      </c>
      <c r="R7" s="8">
        <v>113882.64137217683</v>
      </c>
      <c r="S7" s="6">
        <v>207</v>
      </c>
      <c r="T7" s="9">
        <v>67.642782719220676</v>
      </c>
      <c r="U7" s="10">
        <v>95618.398754280206</v>
      </c>
      <c r="V7" s="6">
        <v>101</v>
      </c>
      <c r="W7" s="7">
        <v>75.667032900126742</v>
      </c>
      <c r="X7" s="8">
        <v>118688.77841894834</v>
      </c>
      <c r="Y7" s="6">
        <v>188</v>
      </c>
      <c r="Z7" s="9">
        <v>66.495902847541373</v>
      </c>
      <c r="AA7" s="10">
        <v>128964.2153163731</v>
      </c>
      <c r="AB7" s="6">
        <v>204</v>
      </c>
      <c r="AC7" s="7">
        <v>72.332203332606028</v>
      </c>
      <c r="AD7" s="8">
        <v>106125.93588870912</v>
      </c>
      <c r="AE7" s="6">
        <v>160</v>
      </c>
      <c r="AF7" s="9">
        <v>67.490761006569272</v>
      </c>
      <c r="AG7" s="10">
        <v>103614.3167345502</v>
      </c>
      <c r="AH7" s="6">
        <v>180</v>
      </c>
      <c r="AI7" s="7">
        <v>69.234769703543506</v>
      </c>
      <c r="AJ7" s="8">
        <v>120128.29991718569</v>
      </c>
    </row>
    <row r="8" spans="1:36" ht="15.75" x14ac:dyDescent="0.25">
      <c r="A8" s="5" t="s">
        <v>40</v>
      </c>
      <c r="B8" s="6">
        <v>283</v>
      </c>
      <c r="C8" s="7">
        <v>69.759844751611269</v>
      </c>
      <c r="D8" s="13">
        <v>115794.37615876317</v>
      </c>
      <c r="E8" s="12">
        <f t="shared" si="1"/>
        <v>32769808.452929977</v>
      </c>
      <c r="F8" s="6">
        <v>357</v>
      </c>
      <c r="G8" s="9">
        <v>72.344860768046729</v>
      </c>
      <c r="H8" s="10">
        <v>131495.48858377698</v>
      </c>
      <c r="I8" s="17">
        <f t="shared" si="0"/>
        <v>46943889.424408384</v>
      </c>
      <c r="J8" s="6">
        <v>347</v>
      </c>
      <c r="K8" s="7">
        <v>66.672487921337137</v>
      </c>
      <c r="L8" s="8">
        <v>101644.07449866593</v>
      </c>
      <c r="M8" s="6">
        <v>677</v>
      </c>
      <c r="N8" s="9">
        <v>66.944149611907648</v>
      </c>
      <c r="O8" s="10">
        <v>100008.64561644156</v>
      </c>
      <c r="P8" s="6">
        <v>273</v>
      </c>
      <c r="Q8" s="7">
        <v>58.801471490154903</v>
      </c>
      <c r="R8" s="8">
        <v>107207.03367732678</v>
      </c>
      <c r="S8" s="6">
        <v>210</v>
      </c>
      <c r="T8" s="9">
        <v>65.109345444284756</v>
      </c>
      <c r="U8" s="10">
        <v>92037.18571372109</v>
      </c>
      <c r="V8" s="6">
        <v>121</v>
      </c>
      <c r="W8" s="7">
        <v>66.514232844136174</v>
      </c>
      <c r="X8" s="8">
        <v>104332.00220978653</v>
      </c>
      <c r="Y8" s="6">
        <v>301</v>
      </c>
      <c r="Z8" s="9">
        <v>67.35600515531182</v>
      </c>
      <c r="AA8" s="10">
        <v>130632.32439472841</v>
      </c>
      <c r="AB8" s="6">
        <v>277</v>
      </c>
      <c r="AC8" s="7">
        <v>70.562454227693806</v>
      </c>
      <c r="AD8" s="8">
        <v>103529.35689078511</v>
      </c>
      <c r="AE8" s="6">
        <v>157</v>
      </c>
      <c r="AF8" s="9">
        <v>64.252992584785034</v>
      </c>
      <c r="AG8" s="10">
        <v>98643.57469868513</v>
      </c>
      <c r="AH8" s="6">
        <v>205</v>
      </c>
      <c r="AI8" s="7">
        <v>67.896311466207152</v>
      </c>
      <c r="AJ8" s="8">
        <v>117805.95937572305</v>
      </c>
    </row>
    <row r="9" spans="1:36" ht="15.75" x14ac:dyDescent="0.25">
      <c r="A9" s="5" t="s">
        <v>41</v>
      </c>
      <c r="B9" s="6">
        <v>252</v>
      </c>
      <c r="C9" s="7">
        <v>64.623191636083973</v>
      </c>
      <c r="D9" s="13">
        <v>107268.04492660095</v>
      </c>
      <c r="E9" s="12">
        <f t="shared" si="1"/>
        <v>27031547.321503442</v>
      </c>
      <c r="F9" s="6">
        <v>342</v>
      </c>
      <c r="G9" s="9">
        <v>73.23358607139302</v>
      </c>
      <c r="H9" s="10">
        <v>133110.85374917521</v>
      </c>
      <c r="I9" s="17">
        <f t="shared" si="0"/>
        <v>45523911.982217923</v>
      </c>
      <c r="J9" s="6">
        <v>327</v>
      </c>
      <c r="K9" s="7">
        <v>63.430410956528746</v>
      </c>
      <c r="L9" s="8">
        <v>96701.437395784829</v>
      </c>
      <c r="M9" s="6">
        <v>714</v>
      </c>
      <c r="N9" s="9">
        <v>64.77563912484419</v>
      </c>
      <c r="O9" s="10">
        <v>96769.082516850103</v>
      </c>
      <c r="P9" s="6">
        <v>236</v>
      </c>
      <c r="Q9" s="7">
        <v>60.364200199275018</v>
      </c>
      <c r="R9" s="8">
        <v>110056.2057320638</v>
      </c>
      <c r="S9" s="6">
        <v>179</v>
      </c>
      <c r="T9" s="9">
        <v>61.523699478786675</v>
      </c>
      <c r="U9" s="10">
        <v>86968.592850771791</v>
      </c>
      <c r="V9" s="6">
        <v>113</v>
      </c>
      <c r="W9" s="7">
        <v>65.033976384351618</v>
      </c>
      <c r="X9" s="8">
        <v>102010.12140879782</v>
      </c>
      <c r="Y9" s="6">
        <v>270</v>
      </c>
      <c r="Z9" s="9">
        <v>65.926564954257771</v>
      </c>
      <c r="AA9" s="10">
        <v>127860.02375699926</v>
      </c>
      <c r="AB9" s="6">
        <v>246</v>
      </c>
      <c r="AC9" s="7">
        <v>68.435574374764656</v>
      </c>
      <c r="AD9" s="8">
        <v>100408.79503153925</v>
      </c>
      <c r="AE9" s="6">
        <v>183</v>
      </c>
      <c r="AF9" s="9">
        <v>61.173234257716693</v>
      </c>
      <c r="AG9" s="10">
        <v>93915.415614278507</v>
      </c>
      <c r="AH9" s="6">
        <v>216</v>
      </c>
      <c r="AI9" s="7">
        <v>67.029167111305682</v>
      </c>
      <c r="AJ9" s="8">
        <v>116301.38909141161</v>
      </c>
    </row>
    <row r="10" spans="1:36" ht="15.75" x14ac:dyDescent="0.25">
      <c r="A10" s="5" t="s">
        <v>42</v>
      </c>
      <c r="B10" s="6">
        <v>317</v>
      </c>
      <c r="C10" s="7">
        <v>60.898645248601746</v>
      </c>
      <c r="D10" s="13">
        <v>101085.66985182103</v>
      </c>
      <c r="E10" s="12">
        <f t="shared" si="1"/>
        <v>32044157.343027268</v>
      </c>
      <c r="F10" s="6">
        <v>359</v>
      </c>
      <c r="G10" s="9">
        <v>66.798682213056196</v>
      </c>
      <c r="H10" s="10">
        <v>121414.64177422086</v>
      </c>
      <c r="I10" s="17">
        <f t="shared" si="0"/>
        <v>43587856.39694529</v>
      </c>
      <c r="J10" s="6">
        <v>337</v>
      </c>
      <c r="K10" s="7">
        <v>60.802797773972181</v>
      </c>
      <c r="L10" s="8">
        <v>92695.567532392757</v>
      </c>
      <c r="M10" s="6">
        <v>744</v>
      </c>
      <c r="N10" s="9">
        <v>59.022211002624346</v>
      </c>
      <c r="O10" s="10">
        <v>88173.969165041897</v>
      </c>
      <c r="P10" s="6">
        <v>215</v>
      </c>
      <c r="Q10" s="7">
        <v>54.36585090324597</v>
      </c>
      <c r="R10" s="8">
        <v>99119.99582623817</v>
      </c>
      <c r="S10" s="6">
        <v>181</v>
      </c>
      <c r="T10" s="9">
        <v>63.078931058456732</v>
      </c>
      <c r="U10" s="10">
        <v>89167.035128899501</v>
      </c>
      <c r="V10" s="6">
        <v>108</v>
      </c>
      <c r="W10" s="7">
        <v>61.751646562238513</v>
      </c>
      <c r="X10" s="8">
        <v>96861.56857114537</v>
      </c>
      <c r="Y10" s="6">
        <v>313</v>
      </c>
      <c r="Z10" s="9">
        <v>62.357572058296959</v>
      </c>
      <c r="AA10" s="10">
        <v>120938.20829789367</v>
      </c>
      <c r="AB10" s="6">
        <v>243</v>
      </c>
      <c r="AC10" s="7">
        <v>63.843303655147565</v>
      </c>
      <c r="AD10" s="8">
        <v>93671.007358562521</v>
      </c>
      <c r="AE10" s="6">
        <v>170</v>
      </c>
      <c r="AF10" s="9">
        <v>58.534232793278498</v>
      </c>
      <c r="AG10" s="10">
        <v>89863.922794800208</v>
      </c>
      <c r="AH10" s="6">
        <v>188</v>
      </c>
      <c r="AI10" s="7">
        <v>63.400627104457008</v>
      </c>
      <c r="AJ10" s="8">
        <v>110005.55906163517</v>
      </c>
    </row>
    <row r="11" spans="1:36" ht="15.75" x14ac:dyDescent="0.25">
      <c r="A11" s="5" t="s">
        <v>43</v>
      </c>
      <c r="B11" s="6">
        <v>275</v>
      </c>
      <c r="C11" s="7">
        <v>61.248272656029634</v>
      </c>
      <c r="D11" s="13">
        <v>101666.01643480539</v>
      </c>
      <c r="E11" s="12">
        <f t="shared" si="1"/>
        <v>27958154.519571483</v>
      </c>
      <c r="F11" s="6">
        <v>315</v>
      </c>
      <c r="G11" s="9">
        <v>65.671854567866859</v>
      </c>
      <c r="H11" s="10">
        <v>119366.49695535179</v>
      </c>
      <c r="I11" s="17">
        <f t="shared" si="0"/>
        <v>37600446.540935814</v>
      </c>
      <c r="J11" s="6">
        <v>343</v>
      </c>
      <c r="K11" s="7">
        <v>60.360606415552084</v>
      </c>
      <c r="L11" s="8">
        <v>92021.434426231383</v>
      </c>
      <c r="M11" s="6">
        <v>700</v>
      </c>
      <c r="N11" s="9">
        <v>60.130403329955719</v>
      </c>
      <c r="O11" s="10">
        <v>89829.510603411734</v>
      </c>
      <c r="P11" s="6">
        <v>236</v>
      </c>
      <c r="Q11" s="7">
        <v>56.104705157284364</v>
      </c>
      <c r="R11" s="8">
        <v>102290.28054613448</v>
      </c>
      <c r="S11" s="6">
        <v>194</v>
      </c>
      <c r="T11" s="9">
        <v>61.852241387526277</v>
      </c>
      <c r="U11" s="10">
        <v>87433.012704220993</v>
      </c>
      <c r="V11" s="6">
        <v>115</v>
      </c>
      <c r="W11" s="7">
        <v>59.864279117763417</v>
      </c>
      <c r="X11" s="8">
        <v>93901.107088426579</v>
      </c>
      <c r="Y11" s="6">
        <v>281</v>
      </c>
      <c r="Z11" s="9">
        <v>61.934225509499555</v>
      </c>
      <c r="AA11" s="10">
        <v>120117.15687766213</v>
      </c>
      <c r="AB11" s="6">
        <v>295</v>
      </c>
      <c r="AC11" s="7">
        <v>66.316823821390329</v>
      </c>
      <c r="AD11" s="8">
        <v>97300.160494891461</v>
      </c>
      <c r="AE11" s="6">
        <v>148</v>
      </c>
      <c r="AF11" s="9">
        <v>61.618893816574726</v>
      </c>
      <c r="AG11" s="10">
        <v>94599.608680093865</v>
      </c>
      <c r="AH11" s="6">
        <v>225</v>
      </c>
      <c r="AI11" s="7">
        <v>59.059518828779801</v>
      </c>
      <c r="AJ11" s="8">
        <v>102473.36159573043</v>
      </c>
    </row>
    <row r="12" spans="1:36" ht="15.75" x14ac:dyDescent="0.25">
      <c r="A12" s="5" t="s">
        <v>44</v>
      </c>
      <c r="B12" s="6">
        <v>304</v>
      </c>
      <c r="C12" s="7">
        <v>61.032504809296427</v>
      </c>
      <c r="D12" s="13">
        <v>101307.86335552961</v>
      </c>
      <c r="E12" s="12">
        <f t="shared" si="1"/>
        <v>30797590.460081004</v>
      </c>
      <c r="F12" s="6">
        <v>411</v>
      </c>
      <c r="G12" s="9">
        <v>65.683603350472836</v>
      </c>
      <c r="H12" s="10">
        <v>119387.85178128741</v>
      </c>
      <c r="I12" s="17">
        <f t="shared" si="0"/>
        <v>49068407.082109123</v>
      </c>
      <c r="J12" s="6">
        <v>398</v>
      </c>
      <c r="K12" s="7">
        <v>56.108523775542508</v>
      </c>
      <c r="L12" s="8">
        <v>85539.015393878144</v>
      </c>
      <c r="M12" s="6">
        <v>788</v>
      </c>
      <c r="N12" s="9">
        <v>59.183654323656441</v>
      </c>
      <c r="O12" s="10">
        <v>88415.151224622023</v>
      </c>
      <c r="P12" s="6">
        <v>277</v>
      </c>
      <c r="Q12" s="7">
        <v>52.760243786205741</v>
      </c>
      <c r="R12" s="8">
        <v>96192.647719007437</v>
      </c>
      <c r="S12" s="6">
        <v>229</v>
      </c>
      <c r="T12" s="9">
        <v>58.696965440757019</v>
      </c>
      <c r="U12" s="10">
        <v>82972.781744913576</v>
      </c>
      <c r="V12" s="6">
        <v>108</v>
      </c>
      <c r="W12" s="7">
        <v>59.979983076622631</v>
      </c>
      <c r="X12" s="8">
        <v>94082.596450555546</v>
      </c>
      <c r="Y12" s="6">
        <v>307</v>
      </c>
      <c r="Z12" s="9">
        <v>61.917409528838874</v>
      </c>
      <c r="AA12" s="10">
        <v>120084.5434434833</v>
      </c>
      <c r="AB12" s="6">
        <v>311</v>
      </c>
      <c r="AC12" s="7">
        <v>62.811670739657878</v>
      </c>
      <c r="AD12" s="8">
        <v>92157.393731358272</v>
      </c>
      <c r="AE12" s="6">
        <v>197</v>
      </c>
      <c r="AF12" s="9">
        <v>57.992688495743707</v>
      </c>
      <c r="AG12" s="10">
        <v>89032.523925774309</v>
      </c>
      <c r="AH12" s="6">
        <v>228</v>
      </c>
      <c r="AI12" s="7">
        <v>58.961040499687734</v>
      </c>
      <c r="AJ12" s="8">
        <v>102302.49319675734</v>
      </c>
    </row>
    <row r="13" spans="1:36" ht="15.75" x14ac:dyDescent="0.25">
      <c r="A13" s="5" t="s">
        <v>45</v>
      </c>
      <c r="B13" s="6">
        <v>343</v>
      </c>
      <c r="C13" s="7">
        <v>59.723279573164859</v>
      </c>
      <c r="D13" s="13">
        <v>99134.680201109484</v>
      </c>
      <c r="E13" s="12">
        <f t="shared" si="1"/>
        <v>34003195.308980554</v>
      </c>
      <c r="F13" s="6">
        <v>424</v>
      </c>
      <c r="G13" s="9">
        <v>64.419969487951988</v>
      </c>
      <c r="H13" s="10">
        <v>117091.04520264272</v>
      </c>
      <c r="I13" s="17">
        <f t="shared" si="0"/>
        <v>49646603.165920511</v>
      </c>
      <c r="J13" s="6">
        <v>441</v>
      </c>
      <c r="K13" s="7">
        <v>54.650129896498576</v>
      </c>
      <c r="L13" s="8">
        <v>83315.653093901637</v>
      </c>
      <c r="M13" s="6">
        <v>797</v>
      </c>
      <c r="N13" s="9">
        <v>57.059554335511983</v>
      </c>
      <c r="O13" s="10">
        <v>85241.933487153874</v>
      </c>
      <c r="P13" s="6">
        <v>279</v>
      </c>
      <c r="Q13" s="7">
        <v>52.1336057307877</v>
      </c>
      <c r="R13" s="8">
        <v>95050.159182441741</v>
      </c>
      <c r="S13" s="6">
        <v>259</v>
      </c>
      <c r="T13" s="9">
        <v>58.440782995219251</v>
      </c>
      <c r="U13" s="10">
        <v>82610.647689415651</v>
      </c>
      <c r="V13" s="6">
        <v>140</v>
      </c>
      <c r="W13" s="7">
        <v>56.410806356606798</v>
      </c>
      <c r="X13" s="8">
        <v>88484.105157535407</v>
      </c>
      <c r="Y13" s="6">
        <v>326</v>
      </c>
      <c r="Z13" s="9">
        <v>61.396228013261457</v>
      </c>
      <c r="AA13" s="10">
        <v>119073.74785585223</v>
      </c>
      <c r="AB13" s="6">
        <v>278</v>
      </c>
      <c r="AC13" s="7">
        <v>61.734116972720109</v>
      </c>
      <c r="AD13" s="8">
        <v>90576.404950181139</v>
      </c>
      <c r="AE13" s="6">
        <v>205</v>
      </c>
      <c r="AF13" s="9">
        <v>55.723790517067528</v>
      </c>
      <c r="AG13" s="10">
        <v>85549.227689448686</v>
      </c>
      <c r="AH13" s="6">
        <v>279</v>
      </c>
      <c r="AI13" s="7">
        <v>57.823607781224496</v>
      </c>
      <c r="AJ13" s="8">
        <v>100328.94927765077</v>
      </c>
    </row>
    <row r="14" spans="1:36" ht="15.75" x14ac:dyDescent="0.25">
      <c r="A14" s="5" t="s">
        <v>46</v>
      </c>
      <c r="B14" s="6">
        <v>291</v>
      </c>
      <c r="C14" s="7">
        <v>57.64264234446577</v>
      </c>
      <c r="D14" s="13">
        <v>95681.03017124263</v>
      </c>
      <c r="E14" s="12">
        <f t="shared" si="1"/>
        <v>27843179.779831607</v>
      </c>
      <c r="F14" s="6">
        <v>420</v>
      </c>
      <c r="G14" s="9">
        <v>62.234377080090134</v>
      </c>
      <c r="H14" s="10">
        <v>113118.46804283255</v>
      </c>
      <c r="I14" s="17">
        <f t="shared" si="0"/>
        <v>47509756.577989675</v>
      </c>
      <c r="J14" s="6">
        <v>373</v>
      </c>
      <c r="K14" s="7">
        <v>55.06205206610715</v>
      </c>
      <c r="L14" s="8">
        <v>83943.639974258418</v>
      </c>
      <c r="M14" s="6">
        <v>729</v>
      </c>
      <c r="N14" s="9">
        <v>55.456259615012918</v>
      </c>
      <c r="O14" s="10">
        <v>82846.752811162718</v>
      </c>
      <c r="P14" s="6">
        <v>280</v>
      </c>
      <c r="Q14" s="7">
        <v>51.03674275312914</v>
      </c>
      <c r="R14" s="8">
        <v>93050.355041401795</v>
      </c>
      <c r="S14" s="6">
        <v>233</v>
      </c>
      <c r="T14" s="9">
        <v>56.051706090786709</v>
      </c>
      <c r="U14" s="10">
        <v>79233.499397765583</v>
      </c>
      <c r="V14" s="6">
        <v>127</v>
      </c>
      <c r="W14" s="7">
        <v>57.854434302704014</v>
      </c>
      <c r="X14" s="8">
        <v>90748.531696367587</v>
      </c>
      <c r="Y14" s="6">
        <v>297</v>
      </c>
      <c r="Z14" s="9">
        <v>59.545146099419014</v>
      </c>
      <c r="AA14" s="10">
        <v>115483.70220969635</v>
      </c>
      <c r="AB14" s="6">
        <v>280</v>
      </c>
      <c r="AC14" s="7">
        <v>60.630532787397208</v>
      </c>
      <c r="AD14" s="8">
        <v>88957.224293388164</v>
      </c>
      <c r="AE14" s="6">
        <v>178</v>
      </c>
      <c r="AF14" s="9">
        <v>57.1022144836395</v>
      </c>
      <c r="AG14" s="10">
        <v>87665.435231588897</v>
      </c>
      <c r="AH14" s="6">
        <v>232</v>
      </c>
      <c r="AI14" s="7">
        <v>54.625319587241307</v>
      </c>
      <c r="AJ14" s="8">
        <v>94779.643270950168</v>
      </c>
    </row>
    <row r="15" spans="1:36" ht="15.75" x14ac:dyDescent="0.25">
      <c r="A15" s="5" t="s">
        <v>47</v>
      </c>
      <c r="B15" s="6">
        <v>330</v>
      </c>
      <c r="C15" s="7">
        <v>58.831798656256318</v>
      </c>
      <c r="D15" s="13">
        <v>97654.91090118594</v>
      </c>
      <c r="E15" s="12">
        <f t="shared" si="1"/>
        <v>32226120.59739136</v>
      </c>
      <c r="F15" s="6">
        <v>466</v>
      </c>
      <c r="G15" s="9">
        <v>63.036984743364712</v>
      </c>
      <c r="H15" s="10">
        <v>114577.30403619712</v>
      </c>
      <c r="I15" s="17">
        <f t="shared" si="0"/>
        <v>53393023.680867858</v>
      </c>
      <c r="J15" s="6">
        <v>407</v>
      </c>
      <c r="K15" s="7">
        <v>56.09602607125175</v>
      </c>
      <c r="L15" s="8">
        <v>85519.962293782475</v>
      </c>
      <c r="M15" s="6">
        <v>816</v>
      </c>
      <c r="N15" s="9">
        <v>57.204830248917403</v>
      </c>
      <c r="O15" s="10">
        <v>85458.962867982438</v>
      </c>
      <c r="P15" s="6">
        <v>335</v>
      </c>
      <c r="Q15" s="7">
        <v>51.55890905038337</v>
      </c>
      <c r="R15" s="8">
        <v>94002.370329391168</v>
      </c>
      <c r="S15" s="6">
        <v>248</v>
      </c>
      <c r="T15" s="9">
        <v>57.90062740362891</v>
      </c>
      <c r="U15" s="10">
        <v>81847.095235335961</v>
      </c>
      <c r="V15" s="6">
        <v>136</v>
      </c>
      <c r="W15" s="7">
        <v>57.406722359329798</v>
      </c>
      <c r="X15" s="8">
        <v>90046.265708050094</v>
      </c>
      <c r="Y15" s="6">
        <v>395</v>
      </c>
      <c r="Z15" s="9">
        <v>60.127923486415987</v>
      </c>
      <c r="AA15" s="10">
        <v>116613.95873979427</v>
      </c>
      <c r="AB15" s="6">
        <v>283</v>
      </c>
      <c r="AC15" s="7">
        <v>61.090708297016285</v>
      </c>
      <c r="AD15" s="8">
        <v>89632.394610084069</v>
      </c>
      <c r="AE15" s="6">
        <v>198</v>
      </c>
      <c r="AF15" s="9">
        <v>58.826896797503238</v>
      </c>
      <c r="AG15" s="10">
        <v>90313.231416873576</v>
      </c>
      <c r="AH15" s="6">
        <v>261</v>
      </c>
      <c r="AI15" s="7">
        <v>55.039381677519536</v>
      </c>
      <c r="AJ15" s="8">
        <v>95498.076728276093</v>
      </c>
    </row>
    <row r="16" spans="1:36" ht="15.75" x14ac:dyDescent="0.25">
      <c r="A16" s="5" t="s">
        <v>48</v>
      </c>
      <c r="B16" s="6">
        <v>359</v>
      </c>
      <c r="C16" s="7">
        <v>59.255251748471395</v>
      </c>
      <c r="D16" s="13">
        <v>98357.800748778551</v>
      </c>
      <c r="E16" s="12">
        <f t="shared" si="1"/>
        <v>35310450.468811497</v>
      </c>
      <c r="F16" s="6">
        <v>491</v>
      </c>
      <c r="G16" s="9">
        <v>63.79072162892637</v>
      </c>
      <c r="H16" s="10">
        <v>115947.31151120384</v>
      </c>
      <c r="I16" s="17">
        <f t="shared" si="0"/>
        <v>56930129.95200108</v>
      </c>
      <c r="J16" s="6">
        <v>434</v>
      </c>
      <c r="K16" s="7">
        <v>56.575099071211419</v>
      </c>
      <c r="L16" s="8">
        <v>86250.32249506448</v>
      </c>
      <c r="M16" s="6">
        <v>907</v>
      </c>
      <c r="N16" s="9">
        <v>59.185520697540916</v>
      </c>
      <c r="O16" s="10">
        <v>88417.93942232836</v>
      </c>
      <c r="P16" s="6">
        <v>308</v>
      </c>
      <c r="Q16" s="7">
        <v>52.56932938867169</v>
      </c>
      <c r="R16" s="8">
        <v>95844.571969757744</v>
      </c>
      <c r="S16" s="6">
        <v>260</v>
      </c>
      <c r="T16" s="9">
        <v>58.560610296502816</v>
      </c>
      <c r="U16" s="10">
        <v>82780.033013543143</v>
      </c>
      <c r="V16" s="6">
        <v>166</v>
      </c>
      <c r="W16" s="7">
        <v>62.046364226874765</v>
      </c>
      <c r="X16" s="8">
        <v>97323.852848108261</v>
      </c>
      <c r="Y16" s="6">
        <v>454</v>
      </c>
      <c r="Z16" s="9">
        <v>61.187941253844123</v>
      </c>
      <c r="AA16" s="10">
        <v>118669.7900578713</v>
      </c>
      <c r="AB16" s="6">
        <v>334</v>
      </c>
      <c r="AC16" s="7">
        <v>60.868438306651107</v>
      </c>
      <c r="AD16" s="8">
        <v>89306.279689472416</v>
      </c>
      <c r="AE16" s="6">
        <v>212</v>
      </c>
      <c r="AF16" s="9">
        <v>60.321210630459355</v>
      </c>
      <c r="AG16" s="10">
        <v>92607.357375442385</v>
      </c>
      <c r="AH16" s="6">
        <v>290</v>
      </c>
      <c r="AI16" s="7">
        <v>56.167430046905153</v>
      </c>
      <c r="AJ16" s="8">
        <v>97455.337991928594</v>
      </c>
    </row>
    <row r="17" spans="1:36" ht="15.75" x14ac:dyDescent="0.25">
      <c r="A17" s="5" t="s">
        <v>49</v>
      </c>
      <c r="B17" s="6">
        <v>383</v>
      </c>
      <c r="C17" s="7">
        <v>59.82144506809901</v>
      </c>
      <c r="D17" s="13">
        <v>99297.625120019351</v>
      </c>
      <c r="E17" s="12">
        <f t="shared" si="1"/>
        <v>38030990.420967415</v>
      </c>
      <c r="F17" s="6">
        <v>633</v>
      </c>
      <c r="G17" s="9">
        <v>64.561506053284859</v>
      </c>
      <c r="H17" s="10">
        <v>117348.30493904039</v>
      </c>
      <c r="I17" s="17">
        <f t="shared" si="0"/>
        <v>74281477.026412562</v>
      </c>
      <c r="J17" s="6">
        <v>564</v>
      </c>
      <c r="K17" s="7">
        <v>58.666209646613908</v>
      </c>
      <c r="L17" s="8">
        <v>89438.279113121578</v>
      </c>
      <c r="M17" s="6">
        <v>1108</v>
      </c>
      <c r="N17" s="9">
        <v>60.320682670083315</v>
      </c>
      <c r="O17" s="10">
        <v>90113.771128121822</v>
      </c>
      <c r="P17" s="6">
        <v>408</v>
      </c>
      <c r="Q17" s="7">
        <v>52.86473772919765</v>
      </c>
      <c r="R17" s="8">
        <v>96383.161415034352</v>
      </c>
      <c r="S17" s="6">
        <v>271</v>
      </c>
      <c r="T17" s="9">
        <v>58.187420801481693</v>
      </c>
      <c r="U17" s="10">
        <v>82252.500281870074</v>
      </c>
      <c r="V17" s="6">
        <v>171</v>
      </c>
      <c r="W17" s="7">
        <v>56.620639453767552</v>
      </c>
      <c r="X17" s="8">
        <v>88813.242339467019</v>
      </c>
      <c r="Y17" s="6">
        <v>514</v>
      </c>
      <c r="Z17" s="9">
        <v>61.297621803298362</v>
      </c>
      <c r="AA17" s="10">
        <v>118882.50791551532</v>
      </c>
      <c r="AB17" s="6">
        <v>391</v>
      </c>
      <c r="AC17" s="7">
        <v>61.983377391271389</v>
      </c>
      <c r="AD17" s="8">
        <v>90942.120274476285</v>
      </c>
      <c r="AE17" s="6">
        <v>240</v>
      </c>
      <c r="AF17" s="9">
        <v>59.767158844272153</v>
      </c>
      <c r="AG17" s="10">
        <v>91756.756546452525</v>
      </c>
      <c r="AH17" s="6">
        <v>374</v>
      </c>
      <c r="AI17" s="7">
        <v>54.996826091933748</v>
      </c>
      <c r="AJ17" s="8">
        <v>95424.239115032178</v>
      </c>
    </row>
    <row r="18" spans="1:36" ht="15.75" x14ac:dyDescent="0.25">
      <c r="A18" s="5" t="s">
        <v>50</v>
      </c>
      <c r="B18" s="6">
        <v>404</v>
      </c>
      <c r="C18" s="7">
        <v>60.885425935605483</v>
      </c>
      <c r="D18" s="13">
        <v>101063.72711231092</v>
      </c>
      <c r="E18" s="12">
        <f t="shared" si="1"/>
        <v>40829745.753373615</v>
      </c>
      <c r="F18" s="6">
        <v>565</v>
      </c>
      <c r="G18" s="9">
        <v>65.836227809246822</v>
      </c>
      <c r="H18" s="10">
        <v>119665.26509804901</v>
      </c>
      <c r="I18" s="17">
        <f t="shared" si="0"/>
        <v>67610874.780397698</v>
      </c>
      <c r="J18" s="6">
        <v>437</v>
      </c>
      <c r="K18" s="7">
        <v>59.115401315771251</v>
      </c>
      <c r="L18" s="8">
        <v>90123.084388993069</v>
      </c>
      <c r="M18" s="6">
        <v>994</v>
      </c>
      <c r="N18" s="9">
        <v>60.714632926414758</v>
      </c>
      <c r="O18" s="10">
        <v>90702.298009176549</v>
      </c>
      <c r="P18" s="6">
        <v>335</v>
      </c>
      <c r="Q18" s="7">
        <v>51.023378798534722</v>
      </c>
      <c r="R18" s="8">
        <v>93025.989836008826</v>
      </c>
      <c r="S18" s="6">
        <v>323</v>
      </c>
      <c r="T18" s="9">
        <v>58.483333802899729</v>
      </c>
      <c r="U18" s="10">
        <v>82670.796606011776</v>
      </c>
      <c r="V18" s="6">
        <v>227</v>
      </c>
      <c r="W18" s="7">
        <v>58.431160029398995</v>
      </c>
      <c r="X18" s="8">
        <v>91653.164392545266</v>
      </c>
      <c r="Y18" s="6">
        <v>481</v>
      </c>
      <c r="Z18" s="9">
        <v>62.016327623792755</v>
      </c>
      <c r="AA18" s="10">
        <v>120276.38826323958</v>
      </c>
      <c r="AB18" s="6">
        <v>343</v>
      </c>
      <c r="AC18" s="7">
        <v>63.605633468094744</v>
      </c>
      <c r="AD18" s="8">
        <v>93322.297242297398</v>
      </c>
      <c r="AE18" s="6">
        <v>213</v>
      </c>
      <c r="AF18" s="9">
        <v>62.752581135283314</v>
      </c>
      <c r="AG18" s="10">
        <v>96340.08745328743</v>
      </c>
      <c r="AH18" s="6">
        <v>311</v>
      </c>
      <c r="AI18" s="7">
        <v>59.917296521398647</v>
      </c>
      <c r="AJ18" s="8">
        <v>103961.67991270339</v>
      </c>
    </row>
    <row r="19" spans="1:36" ht="15.75" x14ac:dyDescent="0.25">
      <c r="A19" s="5" t="s">
        <v>51</v>
      </c>
      <c r="B19" s="6">
        <v>486</v>
      </c>
      <c r="C19" s="7">
        <v>62.820446607930904</v>
      </c>
      <c r="D19" s="13">
        <v>104275.66819968063</v>
      </c>
      <c r="E19" s="12">
        <f t="shared" si="1"/>
        <v>50677974.745044783</v>
      </c>
      <c r="F19" s="6">
        <v>645</v>
      </c>
      <c r="G19" s="9">
        <v>67.140447920227103</v>
      </c>
      <c r="H19" s="10">
        <v>122035.8420663841</v>
      </c>
      <c r="I19" s="17">
        <f t="shared" si="0"/>
        <v>78713118.132817745</v>
      </c>
      <c r="J19" s="6">
        <v>558</v>
      </c>
      <c r="K19" s="7">
        <v>60.326609070576311</v>
      </c>
      <c r="L19" s="8">
        <v>91969.604521975343</v>
      </c>
      <c r="M19" s="6">
        <v>1104</v>
      </c>
      <c r="N19" s="9">
        <v>63.659991897469581</v>
      </c>
      <c r="O19" s="10">
        <v>95102.404116387945</v>
      </c>
      <c r="P19" s="6">
        <v>444</v>
      </c>
      <c r="Q19" s="7">
        <v>54.84999988884929</v>
      </c>
      <c r="R19" s="8">
        <v>100002.6978282299</v>
      </c>
      <c r="S19" s="6">
        <v>302</v>
      </c>
      <c r="T19" s="9">
        <v>59.200698340821098</v>
      </c>
      <c r="U19" s="10">
        <v>83684.847857035405</v>
      </c>
      <c r="V19" s="6">
        <v>183</v>
      </c>
      <c r="W19" s="7">
        <v>62.512869316546791</v>
      </c>
      <c r="X19" s="8">
        <v>98055.597137493533</v>
      </c>
      <c r="Y19" s="6">
        <v>496</v>
      </c>
      <c r="Z19" s="9">
        <v>64.771741223102438</v>
      </c>
      <c r="AA19" s="10">
        <v>125620.32281394063</v>
      </c>
      <c r="AB19" s="6">
        <v>400</v>
      </c>
      <c r="AC19" s="7">
        <v>64.286106988601517</v>
      </c>
      <c r="AD19" s="8">
        <v>94320.689187848882</v>
      </c>
      <c r="AE19" s="6">
        <v>275</v>
      </c>
      <c r="AF19" s="9">
        <v>63.180076966692589</v>
      </c>
      <c r="AG19" s="10">
        <v>96996.394891783042</v>
      </c>
      <c r="AH19" s="6">
        <v>373</v>
      </c>
      <c r="AI19" s="7">
        <v>60.855250937754398</v>
      </c>
      <c r="AJ19" s="8">
        <v>105589.11176405633</v>
      </c>
    </row>
    <row r="20" spans="1:36" ht="15.75" x14ac:dyDescent="0.25">
      <c r="A20" s="5" t="s">
        <v>52</v>
      </c>
      <c r="B20" s="6">
        <v>471</v>
      </c>
      <c r="C20" s="7">
        <v>64.220895742523524</v>
      </c>
      <c r="D20" s="13">
        <v>106600.27391604423</v>
      </c>
      <c r="E20" s="12">
        <f t="shared" si="1"/>
        <v>50208729.014456831</v>
      </c>
      <c r="F20" s="6">
        <v>702</v>
      </c>
      <c r="G20" s="9">
        <v>68.082791564327465</v>
      </c>
      <c r="H20" s="10">
        <v>123748.66501716823</v>
      </c>
      <c r="I20" s="17">
        <f t="shared" si="0"/>
        <v>86871562.842052102</v>
      </c>
      <c r="J20" s="6">
        <v>552</v>
      </c>
      <c r="K20" s="7">
        <v>61.799851082913214</v>
      </c>
      <c r="L20" s="8">
        <v>94215.603216867501</v>
      </c>
      <c r="M20" s="6">
        <v>1213</v>
      </c>
      <c r="N20" s="9">
        <v>65.250643119958823</v>
      </c>
      <c r="O20" s="10">
        <v>97478.696523289924</v>
      </c>
      <c r="P20" s="6">
        <v>432</v>
      </c>
      <c r="Q20" s="7">
        <v>57.199465632758752</v>
      </c>
      <c r="R20" s="8">
        <v>104286.25139836801</v>
      </c>
      <c r="S20" s="6">
        <v>354</v>
      </c>
      <c r="T20" s="9">
        <v>61.721853574420102</v>
      </c>
      <c r="U20" s="10">
        <v>87248.699265224306</v>
      </c>
      <c r="V20" s="6">
        <v>224</v>
      </c>
      <c r="W20" s="7">
        <v>61.996531505793918</v>
      </c>
      <c r="X20" s="8">
        <v>97245.686907622847</v>
      </c>
      <c r="Y20" s="6">
        <v>529</v>
      </c>
      <c r="Z20" s="9">
        <v>63.91606638003433</v>
      </c>
      <c r="AA20" s="10">
        <v>123960.80049787782</v>
      </c>
      <c r="AB20" s="6">
        <v>361</v>
      </c>
      <c r="AC20" s="7">
        <v>65.439204410377044</v>
      </c>
      <c r="AD20" s="8">
        <v>96012.515752208812</v>
      </c>
      <c r="AE20" s="6">
        <v>249</v>
      </c>
      <c r="AF20" s="9">
        <v>63.096226820737556</v>
      </c>
      <c r="AG20" s="10">
        <v>96867.665041183529</v>
      </c>
      <c r="AH20" s="6">
        <v>402</v>
      </c>
      <c r="AI20" s="7">
        <v>62.893107817997397</v>
      </c>
      <c r="AJ20" s="8">
        <v>109124.96930422522</v>
      </c>
    </row>
    <row r="21" spans="1:36" ht="15.75" x14ac:dyDescent="0.25">
      <c r="A21" s="5" t="s">
        <v>53</v>
      </c>
      <c r="B21" s="6">
        <v>479</v>
      </c>
      <c r="C21" s="7">
        <v>64.542278183262781</v>
      </c>
      <c r="D21" s="13">
        <v>107133.73667483173</v>
      </c>
      <c r="E21" s="12">
        <f t="shared" si="1"/>
        <v>51317059.8672444</v>
      </c>
      <c r="F21" s="6">
        <v>670</v>
      </c>
      <c r="G21" s="9">
        <v>69.217199203317904</v>
      </c>
      <c r="H21" s="10">
        <v>125810.58738675417</v>
      </c>
      <c r="I21" s="17">
        <f t="shared" si="0"/>
        <v>84293093.549125299</v>
      </c>
      <c r="J21" s="6">
        <v>688</v>
      </c>
      <c r="K21" s="7">
        <v>63.224688422959233</v>
      </c>
      <c r="L21" s="8">
        <v>96387.807633642689</v>
      </c>
      <c r="M21" s="6">
        <v>1194</v>
      </c>
      <c r="N21" s="9">
        <v>66.307167926654117</v>
      </c>
      <c r="O21" s="10">
        <v>99057.051250182674</v>
      </c>
      <c r="P21" s="6">
        <v>501</v>
      </c>
      <c r="Q21" s="7">
        <v>56.314551325201776</v>
      </c>
      <c r="R21" s="8">
        <v>102672.87276059543</v>
      </c>
      <c r="S21" s="6">
        <v>344</v>
      </c>
      <c r="T21" s="9">
        <v>63.056948975093249</v>
      </c>
      <c r="U21" s="10">
        <v>89135.96172345987</v>
      </c>
      <c r="V21" s="6">
        <v>238</v>
      </c>
      <c r="W21" s="7">
        <v>62.208411096175162</v>
      </c>
      <c r="X21" s="8">
        <v>97578.034150410225</v>
      </c>
      <c r="Y21" s="6">
        <v>537</v>
      </c>
      <c r="Z21" s="9">
        <v>66.944614653179173</v>
      </c>
      <c r="AA21" s="10">
        <v>129834.46090202892</v>
      </c>
      <c r="AB21" s="6">
        <v>444</v>
      </c>
      <c r="AC21" s="7">
        <v>64.990689700749314</v>
      </c>
      <c r="AD21" s="8">
        <v>95354.454181759749</v>
      </c>
      <c r="AE21" s="6">
        <v>300</v>
      </c>
      <c r="AF21" s="9">
        <v>67.230803937755539</v>
      </c>
      <c r="AG21" s="10">
        <v>103215.22101146553</v>
      </c>
      <c r="AH21" s="6">
        <v>458</v>
      </c>
      <c r="AI21" s="7">
        <v>62.226839954815475</v>
      </c>
      <c r="AJ21" s="8">
        <v>107968.93706729841</v>
      </c>
    </row>
    <row r="22" spans="1:36" ht="15.75" x14ac:dyDescent="0.25">
      <c r="A22" s="5" t="s">
        <v>54</v>
      </c>
      <c r="B22" s="6">
        <v>385</v>
      </c>
      <c r="C22" s="7">
        <v>64.820192579005166</v>
      </c>
      <c r="D22" s="13">
        <v>107595.04681958783</v>
      </c>
      <c r="E22" s="12">
        <f t="shared" si="1"/>
        <v>41424093.025541313</v>
      </c>
      <c r="F22" s="6">
        <v>494</v>
      </c>
      <c r="G22" s="9">
        <v>70.030623476429511</v>
      </c>
      <c r="H22" s="10">
        <v>127289.08386989286</v>
      </c>
      <c r="I22" s="17">
        <f t="shared" si="0"/>
        <v>62880807.431727074</v>
      </c>
      <c r="J22" s="6">
        <v>515</v>
      </c>
      <c r="K22" s="7">
        <v>63.73021494136372</v>
      </c>
      <c r="L22" s="8">
        <v>97158.496964426056</v>
      </c>
      <c r="M22" s="6">
        <v>962</v>
      </c>
      <c r="N22" s="9">
        <v>66.684896542730712</v>
      </c>
      <c r="O22" s="10">
        <v>99621.344433730294</v>
      </c>
      <c r="P22" s="6">
        <v>378</v>
      </c>
      <c r="Q22" s="7">
        <v>55.509238128201922</v>
      </c>
      <c r="R22" s="8">
        <v>101204.62312595807</v>
      </c>
      <c r="S22" s="6">
        <v>311</v>
      </c>
      <c r="T22" s="9">
        <v>64.16272782467766</v>
      </c>
      <c r="U22" s="10">
        <v>90699.067183099207</v>
      </c>
      <c r="V22" s="6">
        <v>155</v>
      </c>
      <c r="W22" s="7">
        <v>60.601313645058696</v>
      </c>
      <c r="X22" s="8">
        <v>95057.194810443179</v>
      </c>
      <c r="Y22" s="6">
        <v>439</v>
      </c>
      <c r="Z22" s="9">
        <v>66.138493213938091</v>
      </c>
      <c r="AA22" s="10">
        <v>128271.0439934746</v>
      </c>
      <c r="AB22" s="6">
        <v>367</v>
      </c>
      <c r="AC22" s="7">
        <v>64.694727586933183</v>
      </c>
      <c r="AD22" s="8">
        <v>94920.218048071023</v>
      </c>
      <c r="AE22" s="6">
        <v>246</v>
      </c>
      <c r="AF22" s="9">
        <v>68.510138332213572</v>
      </c>
      <c r="AG22" s="10">
        <v>105179.30257136788</v>
      </c>
      <c r="AH22" s="6">
        <v>366</v>
      </c>
      <c r="AI22" s="7">
        <v>61.875767951382798</v>
      </c>
      <c r="AJ22" s="8">
        <v>107359.79684625816</v>
      </c>
    </row>
    <row r="23" spans="1:36" ht="15.75" x14ac:dyDescent="0.25">
      <c r="A23" s="5" t="s">
        <v>55</v>
      </c>
      <c r="B23" s="6">
        <v>478</v>
      </c>
      <c r="C23" s="7">
        <v>67.483059706260676</v>
      </c>
      <c r="D23" s="13">
        <v>112015.14034032503</v>
      </c>
      <c r="E23" s="12">
        <f t="shared" si="1"/>
        <v>53543237.082675368</v>
      </c>
      <c r="F23" s="6">
        <v>599</v>
      </c>
      <c r="G23" s="9">
        <v>70.894401237062283</v>
      </c>
      <c r="H23" s="10">
        <v>128859.10387485739</v>
      </c>
      <c r="I23" s="17">
        <f t="shared" si="0"/>
        <v>77186603.221039578</v>
      </c>
      <c r="J23" s="6">
        <v>566</v>
      </c>
      <c r="K23" s="7">
        <v>65.176880170430863</v>
      </c>
      <c r="L23" s="8">
        <v>99363.978609140118</v>
      </c>
      <c r="M23" s="6">
        <v>1096</v>
      </c>
      <c r="N23" s="9">
        <v>68.352507818565059</v>
      </c>
      <c r="O23" s="10">
        <v>102112.60836161258</v>
      </c>
      <c r="P23" s="6">
        <v>401</v>
      </c>
      <c r="Q23" s="7">
        <v>58.795962101057064</v>
      </c>
      <c r="R23" s="8">
        <v>107196.98894124135</v>
      </c>
      <c r="S23" s="6">
        <v>342</v>
      </c>
      <c r="T23" s="9">
        <v>63.956155865927336</v>
      </c>
      <c r="U23" s="10">
        <v>90407.061456409487</v>
      </c>
      <c r="V23" s="6">
        <v>189</v>
      </c>
      <c r="W23" s="7">
        <v>63.386919304003939</v>
      </c>
      <c r="X23" s="8">
        <v>99426.60273018424</v>
      </c>
      <c r="Y23" s="6">
        <v>554</v>
      </c>
      <c r="Z23" s="9">
        <v>68.257797267447472</v>
      </c>
      <c r="AA23" s="10">
        <v>132381.28797202901</v>
      </c>
      <c r="AB23" s="6">
        <v>430</v>
      </c>
      <c r="AC23" s="7">
        <v>68.186480671898479</v>
      </c>
      <c r="AD23" s="8">
        <v>100043.32431279038</v>
      </c>
      <c r="AE23" s="6">
        <v>278</v>
      </c>
      <c r="AF23" s="9">
        <v>71.325277635296828</v>
      </c>
      <c r="AG23" s="10">
        <v>109501.20872639194</v>
      </c>
      <c r="AH23" s="6">
        <v>356</v>
      </c>
      <c r="AI23" s="7">
        <v>64.021265542253062</v>
      </c>
      <c r="AJ23" s="8">
        <v>111082.42030801384</v>
      </c>
    </row>
    <row r="24" spans="1:36" ht="15.75" x14ac:dyDescent="0.25">
      <c r="A24" s="5" t="s">
        <v>56</v>
      </c>
      <c r="B24" s="6">
        <v>571</v>
      </c>
      <c r="C24" s="7">
        <v>68.462613460331113</v>
      </c>
      <c r="D24" s="13">
        <v>113641.1017550964</v>
      </c>
      <c r="E24" s="12">
        <f t="shared" si="1"/>
        <v>64889069.102160044</v>
      </c>
      <c r="F24" s="6">
        <v>693</v>
      </c>
      <c r="G24" s="9">
        <v>72.953758875269216</v>
      </c>
      <c r="H24" s="10">
        <v>132602.23415294287</v>
      </c>
      <c r="I24" s="17">
        <f t="shared" si="0"/>
        <v>91893348.267989412</v>
      </c>
      <c r="J24" s="6">
        <v>613</v>
      </c>
      <c r="K24" s="7">
        <v>67.336202218083955</v>
      </c>
      <c r="L24" s="8">
        <v>102655.92552639358</v>
      </c>
      <c r="M24" s="6">
        <v>1174</v>
      </c>
      <c r="N24" s="9">
        <v>71.201597215580662</v>
      </c>
      <c r="O24" s="10">
        <v>106368.89622974634</v>
      </c>
      <c r="P24" s="6">
        <v>449</v>
      </c>
      <c r="Q24" s="7">
        <v>61.064261162654034</v>
      </c>
      <c r="R24" s="8">
        <v>111332.55915273837</v>
      </c>
      <c r="S24" s="6">
        <v>345</v>
      </c>
      <c r="T24" s="9">
        <v>66.4954869892685</v>
      </c>
      <c r="U24" s="10">
        <v>93996.605915700275</v>
      </c>
      <c r="V24" s="6">
        <v>202</v>
      </c>
      <c r="W24" s="7">
        <v>67.131267415937742</v>
      </c>
      <c r="X24" s="8">
        <v>105299.86201295935</v>
      </c>
      <c r="Y24" s="6">
        <v>584</v>
      </c>
      <c r="Z24" s="9">
        <v>69.435357505406927</v>
      </c>
      <c r="AA24" s="10">
        <v>134665.08480120188</v>
      </c>
      <c r="AB24" s="6">
        <v>455</v>
      </c>
      <c r="AC24" s="7">
        <v>67.842150837754716</v>
      </c>
      <c r="AD24" s="8">
        <v>99538.12297480712</v>
      </c>
      <c r="AE24" s="6">
        <v>296</v>
      </c>
      <c r="AF24" s="9">
        <v>71.306247366504152</v>
      </c>
      <c r="AG24" s="10">
        <v>109471.99275269687</v>
      </c>
      <c r="AH24" s="6">
        <v>458</v>
      </c>
      <c r="AI24" s="7">
        <v>66.803752663614574</v>
      </c>
      <c r="AJ24" s="8">
        <v>115910.27557296051</v>
      </c>
    </row>
    <row r="25" spans="1:36" ht="15.75" x14ac:dyDescent="0.25">
      <c r="A25" s="5" t="s">
        <v>57</v>
      </c>
      <c r="B25" s="6">
        <v>542</v>
      </c>
      <c r="C25" s="7">
        <v>69.169932158311624</v>
      </c>
      <c r="D25" s="13">
        <v>114815.18016180316</v>
      </c>
      <c r="E25" s="12">
        <f t="shared" si="1"/>
        <v>62229827.647697315</v>
      </c>
      <c r="F25" s="6">
        <v>672</v>
      </c>
      <c r="G25" s="9">
        <v>73.185661005442995</v>
      </c>
      <c r="H25" s="10">
        <v>133023.74417572928</v>
      </c>
      <c r="I25" s="17">
        <f t="shared" si="0"/>
        <v>89391956.086090073</v>
      </c>
      <c r="J25" s="6">
        <v>683</v>
      </c>
      <c r="K25" s="7">
        <v>68.977602010393397</v>
      </c>
      <c r="L25" s="8">
        <v>105158.28546485033</v>
      </c>
      <c r="M25" s="6">
        <v>1305</v>
      </c>
      <c r="N25" s="9">
        <v>71.308697294253449</v>
      </c>
      <c r="O25" s="10">
        <v>106528.89428597044</v>
      </c>
      <c r="P25" s="6">
        <v>496</v>
      </c>
      <c r="Q25" s="7">
        <v>60.795190329395822</v>
      </c>
      <c r="R25" s="8">
        <v>110841.98833619799</v>
      </c>
      <c r="S25" s="6">
        <v>376</v>
      </c>
      <c r="T25" s="9">
        <v>66.208476716643744</v>
      </c>
      <c r="U25" s="10">
        <v>93590.894299601874</v>
      </c>
      <c r="V25" s="6">
        <v>243</v>
      </c>
      <c r="W25" s="7">
        <v>70.6614588122291</v>
      </c>
      <c r="X25" s="8">
        <v>110837.20223038184</v>
      </c>
      <c r="Y25" s="6">
        <v>591</v>
      </c>
      <c r="Z25" s="9">
        <v>70.494275499318164</v>
      </c>
      <c r="AA25" s="10">
        <v>136718.78318442791</v>
      </c>
      <c r="AB25" s="6">
        <v>453</v>
      </c>
      <c r="AC25" s="7">
        <v>69.245125715561329</v>
      </c>
      <c r="AD25" s="8">
        <v>101596.57018193728</v>
      </c>
      <c r="AE25" s="6">
        <v>334</v>
      </c>
      <c r="AF25" s="9">
        <v>70.727253476605654</v>
      </c>
      <c r="AG25" s="10">
        <v>108583.09988201976</v>
      </c>
      <c r="AH25" s="6">
        <v>482</v>
      </c>
      <c r="AI25" s="7">
        <v>67.413400451360133</v>
      </c>
      <c r="AJ25" s="8">
        <v>116968.06709308451</v>
      </c>
    </row>
    <row r="26" spans="1:36" ht="15.75" x14ac:dyDescent="0.25">
      <c r="A26" s="5" t="s">
        <v>58</v>
      </c>
      <c r="B26" s="6">
        <v>538</v>
      </c>
      <c r="C26" s="7">
        <v>68.075035474003911</v>
      </c>
      <c r="D26" s="13">
        <v>112997.76100083547</v>
      </c>
      <c r="E26" s="12">
        <f t="shared" si="1"/>
        <v>60792795.418449484</v>
      </c>
      <c r="F26" s="6">
        <v>638</v>
      </c>
      <c r="G26" s="9">
        <v>72.928648845453708</v>
      </c>
      <c r="H26" s="10">
        <v>132556.59365265176</v>
      </c>
      <c r="I26" s="17">
        <f t="shared" si="0"/>
        <v>84571106.750391826</v>
      </c>
      <c r="J26" s="6">
        <v>692</v>
      </c>
      <c r="K26" s="7">
        <v>69.631705515684956</v>
      </c>
      <c r="L26" s="8">
        <v>106155.48457192634</v>
      </c>
      <c r="M26" s="6">
        <v>1250</v>
      </c>
      <c r="N26" s="9">
        <v>70.025956316740789</v>
      </c>
      <c r="O26" s="10">
        <v>104612.59258400762</v>
      </c>
      <c r="P26" s="6">
        <v>594</v>
      </c>
      <c r="Q26" s="7">
        <v>63.075417648627763</v>
      </c>
      <c r="R26" s="8">
        <v>114999.30618573155</v>
      </c>
      <c r="S26" s="6">
        <v>382</v>
      </c>
      <c r="T26" s="9">
        <v>68.42483468591459</v>
      </c>
      <c r="U26" s="10">
        <v>96723.890778585395</v>
      </c>
      <c r="V26" s="6">
        <v>241</v>
      </c>
      <c r="W26" s="7">
        <v>69.543794503729345</v>
      </c>
      <c r="X26" s="8">
        <v>109084.071357213</v>
      </c>
      <c r="Y26" s="6">
        <v>576</v>
      </c>
      <c r="Z26" s="9">
        <v>70.122699745805875</v>
      </c>
      <c r="AA26" s="10">
        <v>135998.13764943651</v>
      </c>
      <c r="AB26" s="6">
        <v>472</v>
      </c>
      <c r="AC26" s="7">
        <v>69.163396203236161</v>
      </c>
      <c r="AD26" s="8">
        <v>101476.65649777433</v>
      </c>
      <c r="AE26" s="6">
        <v>334</v>
      </c>
      <c r="AF26" s="9">
        <v>75.003095874653241</v>
      </c>
      <c r="AG26" s="10">
        <v>115147.53154541733</v>
      </c>
      <c r="AH26" s="6">
        <v>438</v>
      </c>
      <c r="AI26" s="7">
        <v>66.410199729235643</v>
      </c>
      <c r="AJ26" s="8">
        <v>115227.42727091811</v>
      </c>
    </row>
    <row r="27" spans="1:36" ht="15.75" x14ac:dyDescent="0.25">
      <c r="A27" s="5" t="s">
        <v>59</v>
      </c>
      <c r="B27" s="6">
        <v>402</v>
      </c>
      <c r="C27" s="7">
        <v>72.209387217466514</v>
      </c>
      <c r="D27" s="13">
        <v>119860.3720439039</v>
      </c>
      <c r="E27" s="12">
        <f t="shared" si="1"/>
        <v>48183869.561649367</v>
      </c>
      <c r="F27" s="6">
        <v>575</v>
      </c>
      <c r="G27" s="9">
        <v>74.269823754283166</v>
      </c>
      <c r="H27" s="10">
        <v>134994.34041227683</v>
      </c>
      <c r="I27" s="17">
        <f t="shared" si="0"/>
        <v>77621745.737059176</v>
      </c>
      <c r="J27" s="6">
        <v>534</v>
      </c>
      <c r="K27" s="7">
        <v>71.987738385537938</v>
      </c>
      <c r="L27" s="8">
        <v>109747.32264503359</v>
      </c>
      <c r="M27" s="6">
        <v>1015</v>
      </c>
      <c r="N27" s="9">
        <v>75.215808481431168</v>
      </c>
      <c r="O27" s="10">
        <v>112365.77324205157</v>
      </c>
      <c r="P27" s="6">
        <v>409</v>
      </c>
      <c r="Q27" s="7">
        <v>63.136888149147715</v>
      </c>
      <c r="R27" s="8">
        <v>115111.37940179909</v>
      </c>
      <c r="S27" s="6">
        <v>275</v>
      </c>
      <c r="T27" s="9">
        <v>69.565154842856529</v>
      </c>
      <c r="U27" s="10">
        <v>98335.823095542466</v>
      </c>
      <c r="V27" s="6">
        <v>186</v>
      </c>
      <c r="W27" s="7">
        <v>69.549955166376776</v>
      </c>
      <c r="X27" s="8">
        <v>109093.73476670388</v>
      </c>
      <c r="Y27" s="6">
        <v>506</v>
      </c>
      <c r="Z27" s="9">
        <v>73.37739657141654</v>
      </c>
      <c r="AA27" s="10">
        <v>142310.39756671185</v>
      </c>
      <c r="AB27" s="6">
        <v>372</v>
      </c>
      <c r="AC27" s="7">
        <v>72.748441126823849</v>
      </c>
      <c r="AD27" s="8">
        <v>106736.64071212636</v>
      </c>
      <c r="AE27" s="6">
        <v>264</v>
      </c>
      <c r="AF27" s="9">
        <v>72.954439162826944</v>
      </c>
      <c r="AG27" s="10">
        <v>112002.35786158717</v>
      </c>
      <c r="AH27" s="6">
        <v>347</v>
      </c>
      <c r="AI27" s="7">
        <v>68.363457784188128</v>
      </c>
      <c r="AJ27" s="8">
        <v>118616.49854891475</v>
      </c>
    </row>
    <row r="28" spans="1:36" ht="15.75" x14ac:dyDescent="0.25">
      <c r="A28" s="5" t="s">
        <v>60</v>
      </c>
      <c r="B28" s="6">
        <v>570</v>
      </c>
      <c r="C28" s="7">
        <v>73.801686854144023</v>
      </c>
      <c r="D28" s="13">
        <v>122503.43043578255</v>
      </c>
      <c r="E28" s="12">
        <f t="shared" si="1"/>
        <v>69826955.348396048</v>
      </c>
      <c r="F28" s="6">
        <v>716</v>
      </c>
      <c r="G28" s="9">
        <v>74.269834736531465</v>
      </c>
      <c r="H28" s="10">
        <v>134994.36037383444</v>
      </c>
      <c r="I28" s="17">
        <f t="shared" si="0"/>
        <v>96655962.027665451</v>
      </c>
      <c r="J28" s="6">
        <v>644</v>
      </c>
      <c r="K28" s="7">
        <v>71.306841699735855</v>
      </c>
      <c r="L28" s="8">
        <v>108709.27658412738</v>
      </c>
      <c r="M28" s="6">
        <v>1147</v>
      </c>
      <c r="N28" s="9">
        <v>74.942043151495113</v>
      </c>
      <c r="O28" s="10">
        <v>111956.79202379179</v>
      </c>
      <c r="P28" s="6">
        <v>486</v>
      </c>
      <c r="Q28" s="7">
        <v>64.960504935642945</v>
      </c>
      <c r="R28" s="8">
        <v>118436.20344599099</v>
      </c>
      <c r="S28" s="6">
        <v>368</v>
      </c>
      <c r="T28" s="9">
        <v>71.619527204595045</v>
      </c>
      <c r="U28" s="10">
        <v>101239.84016547696</v>
      </c>
      <c r="V28" s="6">
        <v>211</v>
      </c>
      <c r="W28" s="7">
        <v>71.25377572998201</v>
      </c>
      <c r="X28" s="8">
        <v>111766.2907476726</v>
      </c>
      <c r="Y28" s="6">
        <v>612</v>
      </c>
      <c r="Z28" s="9">
        <v>74.066579994956669</v>
      </c>
      <c r="AA28" s="10">
        <v>143647.02126260605</v>
      </c>
      <c r="AB28" s="6">
        <v>484</v>
      </c>
      <c r="AC28" s="7">
        <v>74.317827040474953</v>
      </c>
      <c r="AD28" s="8">
        <v>109039.24648359609</v>
      </c>
      <c r="AE28" s="6">
        <v>311</v>
      </c>
      <c r="AF28" s="9">
        <v>76.025965322594416</v>
      </c>
      <c r="AG28" s="10">
        <v>116717.87861776334</v>
      </c>
      <c r="AH28" s="6">
        <v>425</v>
      </c>
      <c r="AI28" s="7">
        <v>70.531621684141939</v>
      </c>
      <c r="AJ28" s="8">
        <v>122378.450012876</v>
      </c>
    </row>
    <row r="29" spans="1:36" ht="15.75" x14ac:dyDescent="0.25">
      <c r="A29" s="5" t="s">
        <v>61</v>
      </c>
      <c r="B29" s="6">
        <v>545</v>
      </c>
      <c r="C29" s="7">
        <v>73.813506453073501</v>
      </c>
      <c r="D29" s="13">
        <v>122523.04978971543</v>
      </c>
      <c r="E29" s="12">
        <f t="shared" si="1"/>
        <v>66775062.135394908</v>
      </c>
      <c r="F29" s="6">
        <v>698</v>
      </c>
      <c r="G29" s="9">
        <v>74.667395483073236</v>
      </c>
      <c r="H29" s="10">
        <v>135716.9748630081</v>
      </c>
      <c r="I29" s="17">
        <f t="shared" si="0"/>
        <v>94730448.454379648</v>
      </c>
      <c r="J29" s="6">
        <v>706</v>
      </c>
      <c r="K29" s="7">
        <v>72.013813322015608</v>
      </c>
      <c r="L29" s="8">
        <v>109787.07461572667</v>
      </c>
      <c r="M29" s="6">
        <v>1150</v>
      </c>
      <c r="N29" s="9">
        <v>75.146422532505568</v>
      </c>
      <c r="O29" s="10">
        <v>112262.11676397113</v>
      </c>
      <c r="P29" s="6">
        <v>516</v>
      </c>
      <c r="Q29" s="7">
        <v>65.922996413401833</v>
      </c>
      <c r="R29" s="8">
        <v>120191.02103227391</v>
      </c>
      <c r="S29" s="6">
        <v>356</v>
      </c>
      <c r="T29" s="9">
        <v>72.854389879032382</v>
      </c>
      <c r="U29" s="10">
        <v>102985.41577405663</v>
      </c>
      <c r="V29" s="6">
        <v>243</v>
      </c>
      <c r="W29" s="7">
        <v>71.614891997767018</v>
      </c>
      <c r="X29" s="8">
        <v>112332.72565397035</v>
      </c>
      <c r="Y29" s="6">
        <v>621</v>
      </c>
      <c r="Z29" s="9">
        <v>73.170059723060604</v>
      </c>
      <c r="AA29" s="10">
        <v>141908.28205569007</v>
      </c>
      <c r="AB29" s="6">
        <v>442</v>
      </c>
      <c r="AC29" s="7">
        <v>74.355950618155589</v>
      </c>
      <c r="AD29" s="8">
        <v>109095.18146378988</v>
      </c>
      <c r="AE29" s="6">
        <v>345</v>
      </c>
      <c r="AF29" s="9">
        <v>75.675680144622831</v>
      </c>
      <c r="AG29" s="10">
        <v>116180.10783497083</v>
      </c>
      <c r="AH29" s="6">
        <v>466</v>
      </c>
      <c r="AI29" s="7">
        <v>69.942427856645423</v>
      </c>
      <c r="AJ29" s="8">
        <v>121356.14787881932</v>
      </c>
    </row>
    <row r="30" spans="1:36" ht="15.75" x14ac:dyDescent="0.25">
      <c r="A30" s="5" t="s">
        <v>62</v>
      </c>
      <c r="B30" s="6">
        <v>509</v>
      </c>
      <c r="C30" s="7">
        <v>72.911659314009995</v>
      </c>
      <c r="D30" s="13">
        <v>121026.07359617233</v>
      </c>
      <c r="E30" s="12">
        <f t="shared" si="1"/>
        <v>61602271.460451715</v>
      </c>
      <c r="F30" s="6">
        <v>541</v>
      </c>
      <c r="G30" s="9">
        <v>74.691111147231638</v>
      </c>
      <c r="H30" s="10">
        <v>135760.08093595496</v>
      </c>
      <c r="I30" s="17">
        <f t="shared" si="0"/>
        <v>73446203.786351636</v>
      </c>
      <c r="J30" s="6">
        <v>600</v>
      </c>
      <c r="K30" s="7">
        <v>73.619158553442517</v>
      </c>
      <c r="L30" s="8">
        <v>112234.46836668065</v>
      </c>
      <c r="M30" s="6">
        <v>1058</v>
      </c>
      <c r="N30" s="9">
        <v>73.872397838214226</v>
      </c>
      <c r="O30" s="10">
        <v>110358.83641913701</v>
      </c>
      <c r="P30" s="6">
        <v>381</v>
      </c>
      <c r="Q30" s="7">
        <v>66.142707626074341</v>
      </c>
      <c r="R30" s="8">
        <v>120591.59922835206</v>
      </c>
      <c r="S30" s="6">
        <v>333</v>
      </c>
      <c r="T30" s="9">
        <v>73.790564580414724</v>
      </c>
      <c r="U30" s="10">
        <v>104308.77241761782</v>
      </c>
      <c r="V30" s="6">
        <v>207</v>
      </c>
      <c r="W30" s="7">
        <v>70.735266214076873</v>
      </c>
      <c r="X30" s="8">
        <v>110952.97405369558</v>
      </c>
      <c r="Y30" s="6">
        <v>505</v>
      </c>
      <c r="Z30" s="9">
        <v>72.901597389314858</v>
      </c>
      <c r="AA30" s="10">
        <v>141387.61788344925</v>
      </c>
      <c r="AB30" s="6">
        <v>382</v>
      </c>
      <c r="AC30" s="7">
        <v>72.93933740325042</v>
      </c>
      <c r="AD30" s="8">
        <v>107016.72406449269</v>
      </c>
      <c r="AE30" s="6">
        <v>303</v>
      </c>
      <c r="AF30" s="9">
        <v>75.774750982140361</v>
      </c>
      <c r="AG30" s="10">
        <v>116332.20505516218</v>
      </c>
      <c r="AH30" s="6">
        <v>392</v>
      </c>
      <c r="AI30" s="7">
        <v>71.19834133651247</v>
      </c>
      <c r="AJ30" s="8">
        <v>123535.26614303135</v>
      </c>
    </row>
    <row r="31" spans="1:36" ht="15.75" x14ac:dyDescent="0.25">
      <c r="A31" s="5" t="s">
        <v>63</v>
      </c>
      <c r="B31" s="6">
        <v>634</v>
      </c>
      <c r="C31" s="7">
        <v>75.11058448571643</v>
      </c>
      <c r="D31" s="13">
        <v>124676.06979934862</v>
      </c>
      <c r="E31" s="12">
        <f t="shared" si="1"/>
        <v>79044628.252787024</v>
      </c>
      <c r="F31" s="6">
        <v>709</v>
      </c>
      <c r="G31" s="9">
        <v>76.006930201909299</v>
      </c>
      <c r="H31" s="10">
        <v>138151.74037998146</v>
      </c>
      <c r="I31" s="17">
        <f t="shared" si="0"/>
        <v>97949583.929406852</v>
      </c>
      <c r="J31" s="6">
        <v>686</v>
      </c>
      <c r="K31" s="7">
        <v>73.444191767433225</v>
      </c>
      <c r="L31" s="8">
        <v>111967.72660277793</v>
      </c>
      <c r="M31" s="6">
        <v>1139</v>
      </c>
      <c r="N31" s="9">
        <v>75.740075488312726</v>
      </c>
      <c r="O31" s="10">
        <v>113148.98183613436</v>
      </c>
      <c r="P31" s="6">
        <v>517</v>
      </c>
      <c r="Q31" s="7">
        <v>67.184976664781274</v>
      </c>
      <c r="R31" s="8">
        <v>122491.86752269565</v>
      </c>
      <c r="S31" s="6">
        <v>379</v>
      </c>
      <c r="T31" s="9">
        <v>74.223698784352592</v>
      </c>
      <c r="U31" s="10">
        <v>104921.04171467145</v>
      </c>
      <c r="V31" s="6">
        <v>222</v>
      </c>
      <c r="W31" s="7">
        <v>73.638619167490361</v>
      </c>
      <c r="X31" s="8">
        <v>115507.07644349756</v>
      </c>
      <c r="Y31" s="6">
        <v>628</v>
      </c>
      <c r="Z31" s="9">
        <v>74.58817257671268</v>
      </c>
      <c r="AA31" s="10">
        <v>144658.61408472672</v>
      </c>
      <c r="AB31" s="6">
        <v>451</v>
      </c>
      <c r="AC31" s="7">
        <v>75.256232915050802</v>
      </c>
      <c r="AD31" s="8">
        <v>110416.07723247957</v>
      </c>
      <c r="AE31" s="6">
        <v>328</v>
      </c>
      <c r="AF31" s="9">
        <v>77.438929427413058</v>
      </c>
      <c r="AG31" s="10">
        <v>118887.11345980311</v>
      </c>
      <c r="AH31" s="6">
        <v>432</v>
      </c>
      <c r="AI31" s="7">
        <v>71.715137884922029</v>
      </c>
      <c r="AJ31" s="8">
        <v>124431.95275048794</v>
      </c>
    </row>
    <row r="32" spans="1:36" ht="15.75" x14ac:dyDescent="0.25">
      <c r="A32" s="5" t="s">
        <v>64</v>
      </c>
      <c r="B32" s="6">
        <v>600</v>
      </c>
      <c r="C32" s="7">
        <v>75.432092154195914</v>
      </c>
      <c r="D32" s="13">
        <v>125209.74042367982</v>
      </c>
      <c r="E32" s="12">
        <f t="shared" si="1"/>
        <v>75125844.254207894</v>
      </c>
      <c r="F32" s="6">
        <v>680</v>
      </c>
      <c r="G32" s="9">
        <v>77.213399332787787</v>
      </c>
      <c r="H32" s="10">
        <v>140344.64318111842</v>
      </c>
      <c r="I32" s="17">
        <f t="shared" si="0"/>
        <v>95434357.363160521</v>
      </c>
      <c r="J32" s="6">
        <v>738</v>
      </c>
      <c r="K32" s="7">
        <v>73.822243586746609</v>
      </c>
      <c r="L32" s="8">
        <v>112544.07718582476</v>
      </c>
      <c r="M32" s="6">
        <v>1286</v>
      </c>
      <c r="N32" s="9">
        <v>77.350147094093899</v>
      </c>
      <c r="O32" s="10">
        <v>115554.28658006113</v>
      </c>
      <c r="P32" s="6">
        <v>612</v>
      </c>
      <c r="Q32" s="7">
        <v>68.589112465899348</v>
      </c>
      <c r="R32" s="8">
        <v>125051.89247280611</v>
      </c>
      <c r="S32" s="6">
        <v>409</v>
      </c>
      <c r="T32" s="9">
        <v>76.602861341628468</v>
      </c>
      <c r="U32" s="10">
        <v>108284.17529607889</v>
      </c>
      <c r="V32" s="6">
        <v>275</v>
      </c>
      <c r="W32" s="7">
        <v>74.617186836737275</v>
      </c>
      <c r="X32" s="8">
        <v>117042.0249780396</v>
      </c>
      <c r="Y32" s="6">
        <v>678</v>
      </c>
      <c r="Z32" s="9">
        <v>75.56223469125068</v>
      </c>
      <c r="AA32" s="10">
        <v>146547.74034501397</v>
      </c>
      <c r="AB32" s="6">
        <v>478</v>
      </c>
      <c r="AC32" s="7">
        <v>76.507167285403639</v>
      </c>
      <c r="AD32" s="8">
        <v>112251.45033978825</v>
      </c>
      <c r="AE32" s="6">
        <v>326</v>
      </c>
      <c r="AF32" s="9">
        <v>76.996186976908177</v>
      </c>
      <c r="AG32" s="10">
        <v>118207.39884680625</v>
      </c>
      <c r="AH32" s="6">
        <v>465</v>
      </c>
      <c r="AI32" s="7">
        <v>71.605620442769222</v>
      </c>
      <c r="AJ32" s="8">
        <v>124241.9305377554</v>
      </c>
    </row>
    <row r="33" spans="1:36" ht="15.75" x14ac:dyDescent="0.25">
      <c r="A33" s="5" t="s">
        <v>65</v>
      </c>
      <c r="B33" s="6">
        <v>667</v>
      </c>
      <c r="C33" s="7">
        <v>74.362591483558049</v>
      </c>
      <c r="D33" s="13">
        <v>123434.47610939063</v>
      </c>
      <c r="E33" s="12">
        <f t="shared" si="1"/>
        <v>82330795.564963549</v>
      </c>
      <c r="F33" s="6">
        <v>760</v>
      </c>
      <c r="G33" s="9">
        <v>76.598846384008525</v>
      </c>
      <c r="H33" s="10">
        <v>139227.61925706349</v>
      </c>
      <c r="I33" s="17">
        <f t="shared" si="0"/>
        <v>105812990.63536826</v>
      </c>
      <c r="J33" s="6">
        <v>825</v>
      </c>
      <c r="K33" s="7">
        <v>75.200016840473452</v>
      </c>
      <c r="L33" s="8">
        <v>114644.53108532987</v>
      </c>
      <c r="M33" s="6">
        <v>1220</v>
      </c>
      <c r="N33" s="9">
        <v>76.962356239286407</v>
      </c>
      <c r="O33" s="10">
        <v>114974.96130075633</v>
      </c>
      <c r="P33" s="6">
        <v>611</v>
      </c>
      <c r="Q33" s="7">
        <v>68.980152925588129</v>
      </c>
      <c r="R33" s="8">
        <v>125764.8387081409</v>
      </c>
      <c r="S33" s="6">
        <v>438</v>
      </c>
      <c r="T33" s="9">
        <v>79.6990874434929</v>
      </c>
      <c r="U33" s="10">
        <v>112660.93465073741</v>
      </c>
      <c r="V33" s="6">
        <v>288</v>
      </c>
      <c r="W33" s="7">
        <v>75.572360450798129</v>
      </c>
      <c r="X33" s="8">
        <v>118540.27837963036</v>
      </c>
      <c r="Y33" s="6">
        <v>663</v>
      </c>
      <c r="Z33" s="9">
        <v>75.156979103894926</v>
      </c>
      <c r="AA33" s="10">
        <v>145761.77509621155</v>
      </c>
      <c r="AB33" s="6">
        <v>484</v>
      </c>
      <c r="AC33" s="7">
        <v>77.11036253874542</v>
      </c>
      <c r="AD33" s="8">
        <v>113136.45947590104</v>
      </c>
      <c r="AE33" s="6">
        <v>308</v>
      </c>
      <c r="AF33" s="9">
        <v>79.274586971465382</v>
      </c>
      <c r="AG33" s="10">
        <v>121705.28292994868</v>
      </c>
      <c r="AH33" s="6">
        <v>539</v>
      </c>
      <c r="AI33" s="7">
        <v>73.442932425985234</v>
      </c>
      <c r="AJ33" s="8">
        <v>127429.82537594558</v>
      </c>
    </row>
    <row r="34" spans="1:36" ht="15.75" x14ac:dyDescent="0.25">
      <c r="A34" s="5" t="s">
        <v>66</v>
      </c>
      <c r="B34" s="6">
        <v>443</v>
      </c>
      <c r="C34" s="7">
        <v>75.349485374479826</v>
      </c>
      <c r="D34" s="13">
        <v>125072.62141835854</v>
      </c>
      <c r="E34" s="12">
        <f t="shared" si="1"/>
        <v>55407171.288332835</v>
      </c>
      <c r="F34" s="6">
        <v>588</v>
      </c>
      <c r="G34" s="9">
        <v>77.798059945558265</v>
      </c>
      <c r="H34" s="10">
        <v>141407.33418799503</v>
      </c>
      <c r="I34" s="17">
        <f t="shared" si="0"/>
        <v>83147512.50254108</v>
      </c>
      <c r="J34" s="6">
        <v>611</v>
      </c>
      <c r="K34" s="7">
        <v>75.025451652451778</v>
      </c>
      <c r="L34" s="8">
        <v>114378.40156880302</v>
      </c>
      <c r="M34" s="6">
        <v>1062</v>
      </c>
      <c r="N34" s="9">
        <v>77.623884367797046</v>
      </c>
      <c r="O34" s="10">
        <v>115963.22588478746</v>
      </c>
      <c r="P34" s="6">
        <v>470</v>
      </c>
      <c r="Q34" s="7">
        <v>67.614288803180074</v>
      </c>
      <c r="R34" s="8">
        <v>123274.5908068759</v>
      </c>
      <c r="S34" s="6">
        <v>361</v>
      </c>
      <c r="T34" s="9">
        <v>76.766543876389349</v>
      </c>
      <c r="U34" s="10">
        <v>108515.55344536116</v>
      </c>
      <c r="V34" s="6">
        <v>234</v>
      </c>
      <c r="W34" s="7">
        <v>75.951862769660579</v>
      </c>
      <c r="X34" s="8">
        <v>119135.55303104155</v>
      </c>
      <c r="Y34" s="6">
        <v>564</v>
      </c>
      <c r="Z34" s="9">
        <v>75.828038846172646</v>
      </c>
      <c r="AA34" s="10">
        <v>147063.249162842</v>
      </c>
      <c r="AB34" s="6">
        <v>374</v>
      </c>
      <c r="AC34" s="7">
        <v>77.326150082891061</v>
      </c>
      <c r="AD34" s="8">
        <v>113453.06334002331</v>
      </c>
      <c r="AE34" s="6">
        <v>308</v>
      </c>
      <c r="AF34" s="9">
        <v>80.929644377775418</v>
      </c>
      <c r="AG34" s="10">
        <v>124246.18837765254</v>
      </c>
      <c r="AH34" s="6">
        <v>460</v>
      </c>
      <c r="AI34" s="7">
        <v>76.019160627308565</v>
      </c>
      <c r="AJ34" s="8">
        <v>131899.80361590849</v>
      </c>
    </row>
    <row r="35" spans="1:36" ht="15.75" x14ac:dyDescent="0.25">
      <c r="A35" s="5" t="s">
        <v>67</v>
      </c>
      <c r="B35" s="6">
        <v>590</v>
      </c>
      <c r="C35" s="7">
        <v>76.300332886983085</v>
      </c>
      <c r="D35" s="13">
        <v>126650.93333869698</v>
      </c>
      <c r="E35" s="12">
        <f t="shared" si="1"/>
        <v>74724050.669831216</v>
      </c>
      <c r="F35" s="6">
        <v>704</v>
      </c>
      <c r="G35" s="9">
        <v>78.126828302737792</v>
      </c>
      <c r="H35" s="10">
        <v>142004.91023277887</v>
      </c>
      <c r="I35" s="17">
        <f t="shared" si="0"/>
        <v>99971456.803876325</v>
      </c>
      <c r="J35" s="6">
        <v>711</v>
      </c>
      <c r="K35" s="7">
        <v>75.672248424235946</v>
      </c>
      <c r="L35" s="8">
        <v>115364.46135607679</v>
      </c>
      <c r="M35" s="6">
        <v>1148</v>
      </c>
      <c r="N35" s="9">
        <v>79.086573089224359</v>
      </c>
      <c r="O35" s="10">
        <v>118148.3536194203</v>
      </c>
      <c r="P35" s="6">
        <v>529</v>
      </c>
      <c r="Q35" s="7">
        <v>70.816666669551395</v>
      </c>
      <c r="R35" s="8">
        <v>129113.1765270492</v>
      </c>
      <c r="S35" s="6">
        <v>411</v>
      </c>
      <c r="T35" s="9">
        <v>80.438501768482212</v>
      </c>
      <c r="U35" s="10">
        <v>113706.1550117171</v>
      </c>
      <c r="V35" s="6">
        <v>249</v>
      </c>
      <c r="W35" s="7">
        <v>77.475525972467594</v>
      </c>
      <c r="X35" s="8">
        <v>121525.52019814009</v>
      </c>
      <c r="Y35" s="6">
        <v>593</v>
      </c>
      <c r="Z35" s="9">
        <v>77.486589903710737</v>
      </c>
      <c r="AA35" s="10">
        <v>150279.89449793799</v>
      </c>
      <c r="AB35" s="6">
        <v>458</v>
      </c>
      <c r="AC35" s="7">
        <v>77.886280272777128</v>
      </c>
      <c r="AD35" s="8">
        <v>114274.88733932603</v>
      </c>
      <c r="AE35" s="6">
        <v>306</v>
      </c>
      <c r="AF35" s="9">
        <v>79.743788749425065</v>
      </c>
      <c r="AG35" s="10">
        <v>122425.61888273481</v>
      </c>
      <c r="AH35" s="6">
        <v>502</v>
      </c>
      <c r="AI35" s="7">
        <v>73.825644804501465</v>
      </c>
      <c r="AJ35" s="8">
        <v>128093.86437810124</v>
      </c>
    </row>
    <row r="36" spans="1:36" ht="15.75" x14ac:dyDescent="0.25">
      <c r="A36" s="5" t="s">
        <v>68</v>
      </c>
      <c r="B36" s="6">
        <v>647</v>
      </c>
      <c r="C36" s="7">
        <v>78.438829669306841</v>
      </c>
      <c r="D36" s="13">
        <v>130200.62444979971</v>
      </c>
      <c r="E36" s="12">
        <f t="shared" si="1"/>
        <v>84239804.019020408</v>
      </c>
      <c r="F36" s="6">
        <v>760</v>
      </c>
      <c r="G36" s="9">
        <v>79.523130522405893</v>
      </c>
      <c r="H36" s="10">
        <v>144542.85751246961</v>
      </c>
      <c r="I36" s="17">
        <f t="shared" si="0"/>
        <v>109852571.7094769</v>
      </c>
      <c r="J36" s="6">
        <v>745</v>
      </c>
      <c r="K36" s="7">
        <v>75.47756824606077</v>
      </c>
      <c r="L36" s="8">
        <v>115067.66597389159</v>
      </c>
      <c r="M36" s="6">
        <v>1229</v>
      </c>
      <c r="N36" s="9">
        <v>81.338849567592888</v>
      </c>
      <c r="O36" s="10">
        <v>121513.05571006183</v>
      </c>
      <c r="P36" s="6">
        <v>550</v>
      </c>
      <c r="Q36" s="7">
        <v>72.188408471874737</v>
      </c>
      <c r="R36" s="8">
        <v>131614.14063341339</v>
      </c>
      <c r="S36" s="6">
        <v>407</v>
      </c>
      <c r="T36" s="9">
        <v>81.20343945064009</v>
      </c>
      <c r="U36" s="10">
        <v>114787.4546474573</v>
      </c>
      <c r="V36" s="6">
        <v>279</v>
      </c>
      <c r="W36" s="7">
        <v>77.948786660366537</v>
      </c>
      <c r="X36" s="8">
        <v>122267.8610930788</v>
      </c>
      <c r="Y36" s="6">
        <v>605</v>
      </c>
      <c r="Z36" s="9">
        <v>78.649782466846645</v>
      </c>
      <c r="AA36" s="10">
        <v>152535.82621316862</v>
      </c>
      <c r="AB36" s="6">
        <v>473</v>
      </c>
      <c r="AC36" s="7">
        <v>79.842441176075724</v>
      </c>
      <c r="AD36" s="8">
        <v>117144.97005555214</v>
      </c>
      <c r="AE36" s="6">
        <v>343</v>
      </c>
      <c r="AF36" s="9">
        <v>80.278578625016195</v>
      </c>
      <c r="AG36" s="10">
        <v>123246.64811295104</v>
      </c>
      <c r="AH36" s="6">
        <v>536</v>
      </c>
      <c r="AI36" s="7">
        <v>77.037461910463861</v>
      </c>
      <c r="AJ36" s="8">
        <v>133666.64421453726</v>
      </c>
    </row>
    <row r="37" spans="1:36" ht="15.75" x14ac:dyDescent="0.25">
      <c r="A37" s="5" t="s">
        <v>69</v>
      </c>
      <c r="B37" s="6">
        <v>647</v>
      </c>
      <c r="C37" s="7">
        <v>79.474832184155218</v>
      </c>
      <c r="D37" s="13">
        <v>131920.28517056137</v>
      </c>
      <c r="E37" s="12">
        <f t="shared" si="1"/>
        <v>85352424.505353212</v>
      </c>
      <c r="F37" s="6">
        <v>751</v>
      </c>
      <c r="G37" s="9">
        <v>79.72141178645586</v>
      </c>
      <c r="H37" s="10">
        <v>144903.25756599734</v>
      </c>
      <c r="I37" s="17">
        <f t="shared" si="0"/>
        <v>108822346.432064</v>
      </c>
      <c r="J37" s="6">
        <v>759</v>
      </c>
      <c r="K37" s="7">
        <v>77.538332665744363</v>
      </c>
      <c r="L37" s="8">
        <v>118209.35902793892</v>
      </c>
      <c r="M37" s="6">
        <v>1280</v>
      </c>
      <c r="N37" s="9">
        <v>83.021325278153753</v>
      </c>
      <c r="O37" s="10">
        <v>124026.52579028858</v>
      </c>
      <c r="P37" s="6">
        <v>558</v>
      </c>
      <c r="Q37" s="7">
        <v>72.924545252219787</v>
      </c>
      <c r="R37" s="8">
        <v>132956.2676006745</v>
      </c>
      <c r="S37" s="6">
        <v>433</v>
      </c>
      <c r="T37" s="9">
        <v>85.493390286040722</v>
      </c>
      <c r="U37" s="10">
        <v>120851.63789252416</v>
      </c>
      <c r="V37" s="6">
        <v>288</v>
      </c>
      <c r="W37" s="7">
        <v>79.241160564056486</v>
      </c>
      <c r="X37" s="8">
        <v>124295.03559709228</v>
      </c>
      <c r="Y37" s="6">
        <v>662</v>
      </c>
      <c r="Z37" s="9">
        <v>79.313015507212342</v>
      </c>
      <c r="AA37" s="10">
        <v>153822.12093148776</v>
      </c>
      <c r="AB37" s="6">
        <v>503</v>
      </c>
      <c r="AC37" s="7">
        <v>78.911079219368375</v>
      </c>
      <c r="AD37" s="8">
        <v>115778.47415534845</v>
      </c>
      <c r="AE37" s="6">
        <v>392</v>
      </c>
      <c r="AF37" s="9">
        <v>82.954155029229582</v>
      </c>
      <c r="AG37" s="10">
        <v>127354.292135022</v>
      </c>
      <c r="AH37" s="6">
        <v>505</v>
      </c>
      <c r="AI37" s="7">
        <v>77.897896343429338</v>
      </c>
      <c r="AJ37" s="8">
        <v>135159.57220526991</v>
      </c>
    </row>
    <row r="38" spans="1:36" ht="15.75" x14ac:dyDescent="0.25">
      <c r="A38" s="5" t="s">
        <v>70</v>
      </c>
      <c r="B38" s="6">
        <v>499</v>
      </c>
      <c r="C38" s="7">
        <v>78.426259674949165</v>
      </c>
      <c r="D38" s="13">
        <v>130179.75951438952</v>
      </c>
      <c r="E38" s="12">
        <f t="shared" si="1"/>
        <v>64959699.997680366</v>
      </c>
      <c r="F38" s="6">
        <v>551</v>
      </c>
      <c r="G38" s="9">
        <v>78.885238615910964</v>
      </c>
      <c r="H38" s="10">
        <v>143383.41222475079</v>
      </c>
      <c r="I38" s="17">
        <f t="shared" si="0"/>
        <v>79004260.135837689</v>
      </c>
      <c r="J38" s="6">
        <v>554</v>
      </c>
      <c r="K38" s="7">
        <v>78.11484377024135</v>
      </c>
      <c r="L38" s="8">
        <v>119088.26634761081</v>
      </c>
      <c r="M38" s="6">
        <v>959</v>
      </c>
      <c r="N38" s="9">
        <v>81.262023278593858</v>
      </c>
      <c r="O38" s="10">
        <v>121398.28402119773</v>
      </c>
      <c r="P38" s="6">
        <v>403</v>
      </c>
      <c r="Q38" s="7">
        <v>73.672285410958153</v>
      </c>
      <c r="R38" s="8">
        <v>134319.54988508427</v>
      </c>
      <c r="S38" s="6">
        <v>349</v>
      </c>
      <c r="T38" s="9">
        <v>82.432566590891753</v>
      </c>
      <c r="U38" s="10">
        <v>116524.92262691843</v>
      </c>
      <c r="V38" s="6">
        <v>217</v>
      </c>
      <c r="W38" s="7">
        <v>79.720866265484986</v>
      </c>
      <c r="X38" s="8">
        <v>125047.48592481035</v>
      </c>
      <c r="Y38" s="6">
        <v>513</v>
      </c>
      <c r="Z38" s="9">
        <v>78.791387562982891</v>
      </c>
      <c r="AA38" s="10">
        <v>152810.45952628989</v>
      </c>
      <c r="AB38" s="6">
        <v>464</v>
      </c>
      <c r="AC38" s="7">
        <v>78.682236153777211</v>
      </c>
      <c r="AD38" s="8">
        <v>115442.71520720985</v>
      </c>
      <c r="AE38" s="6">
        <v>301</v>
      </c>
      <c r="AF38" s="9">
        <v>81.063164227076285</v>
      </c>
      <c r="AG38" s="10">
        <v>124451.17299702085</v>
      </c>
      <c r="AH38" s="6">
        <v>379</v>
      </c>
      <c r="AI38" s="7">
        <v>76.957998726098907</v>
      </c>
      <c r="AJ38" s="8">
        <v>133528.76873254112</v>
      </c>
    </row>
    <row r="39" spans="1:36" ht="15.75" x14ac:dyDescent="0.25">
      <c r="A39" s="5" t="s">
        <v>71</v>
      </c>
      <c r="B39" s="6">
        <v>564</v>
      </c>
      <c r="C39" s="7">
        <v>78.583995647858501</v>
      </c>
      <c r="D39" s="13">
        <v>130441.58547810644</v>
      </c>
      <c r="E39" s="12">
        <f t="shared" si="1"/>
        <v>73569054.209652036</v>
      </c>
      <c r="F39" s="6">
        <v>676</v>
      </c>
      <c r="G39" s="9">
        <v>80.234578525483613</v>
      </c>
      <c r="H39" s="10">
        <v>145835.9998555948</v>
      </c>
      <c r="I39" s="17">
        <f t="shared" si="0"/>
        <v>98585135.902382076</v>
      </c>
      <c r="J39" s="6">
        <v>719</v>
      </c>
      <c r="K39" s="7">
        <v>77.537897967541355</v>
      </c>
      <c r="L39" s="8">
        <v>118208.69631835798</v>
      </c>
      <c r="M39" s="6">
        <v>1152</v>
      </c>
      <c r="N39" s="9">
        <v>82.038737274463884</v>
      </c>
      <c r="O39" s="10">
        <v>122558.62611544518</v>
      </c>
      <c r="P39" s="6">
        <v>488</v>
      </c>
      <c r="Q39" s="7">
        <v>74.012675663670763</v>
      </c>
      <c r="R39" s="8">
        <v>134940.15049866081</v>
      </c>
      <c r="S39" s="6">
        <v>393</v>
      </c>
      <c r="T39" s="9">
        <v>84.061717209492855</v>
      </c>
      <c r="U39" s="10">
        <v>118827.85528607288</v>
      </c>
      <c r="V39" s="6">
        <v>251</v>
      </c>
      <c r="W39" s="7">
        <v>78.977064872918262</v>
      </c>
      <c r="X39" s="8">
        <v>123880.78392413087</v>
      </c>
      <c r="Y39" s="6">
        <v>622</v>
      </c>
      <c r="Z39" s="9">
        <v>80.564538433877857</v>
      </c>
      <c r="AA39" s="10">
        <v>156249.36329193698</v>
      </c>
      <c r="AB39" s="6">
        <v>484</v>
      </c>
      <c r="AC39" s="7">
        <v>80.004352960441722</v>
      </c>
      <c r="AD39" s="8">
        <v>117382.52731021283</v>
      </c>
      <c r="AE39" s="6">
        <v>377</v>
      </c>
      <c r="AF39" s="9">
        <v>82.366209038975811</v>
      </c>
      <c r="AG39" s="10">
        <v>126451.65566821682</v>
      </c>
      <c r="AH39" s="6">
        <v>482</v>
      </c>
      <c r="AI39" s="7">
        <v>79.625055333482621</v>
      </c>
      <c r="AJ39" s="8">
        <v>138156.34209488169</v>
      </c>
    </row>
    <row r="40" spans="1:36" ht="15.75" x14ac:dyDescent="0.25">
      <c r="A40" s="5" t="s">
        <v>72</v>
      </c>
      <c r="B40" s="6">
        <v>618</v>
      </c>
      <c r="C40" s="7">
        <v>81.52761302990011</v>
      </c>
      <c r="D40" s="13">
        <v>135327.69638642704</v>
      </c>
      <c r="E40" s="12">
        <f t="shared" si="1"/>
        <v>83632516.366811901</v>
      </c>
      <c r="F40" s="6">
        <v>843</v>
      </c>
      <c r="G40" s="9">
        <v>82.04207239244738</v>
      </c>
      <c r="H40" s="10">
        <v>149121.33742657481</v>
      </c>
      <c r="I40" s="17">
        <f t="shared" si="0"/>
        <v>125709287.45060256</v>
      </c>
      <c r="J40" s="6">
        <v>735</v>
      </c>
      <c r="K40" s="7">
        <v>80.344164789417874</v>
      </c>
      <c r="L40" s="8">
        <v>122486.92865674752</v>
      </c>
      <c r="M40" s="6">
        <v>1254</v>
      </c>
      <c r="N40" s="9">
        <v>84.380151477829799</v>
      </c>
      <c r="O40" s="10">
        <v>126056.4920927295</v>
      </c>
      <c r="P40" s="6">
        <v>552</v>
      </c>
      <c r="Q40" s="7">
        <v>76.093386562597516</v>
      </c>
      <c r="R40" s="8">
        <v>138733.70936310809</v>
      </c>
      <c r="S40" s="6">
        <v>442</v>
      </c>
      <c r="T40" s="9">
        <v>81.328693768741118</v>
      </c>
      <c r="U40" s="10">
        <v>114964.51148711445</v>
      </c>
      <c r="V40" s="6">
        <v>274</v>
      </c>
      <c r="W40" s="7">
        <v>82.907311631553767</v>
      </c>
      <c r="X40" s="8">
        <v>130045.63760992537</v>
      </c>
      <c r="Y40" s="6">
        <v>661</v>
      </c>
      <c r="Z40" s="9">
        <v>81.39064549625941</v>
      </c>
      <c r="AA40" s="10">
        <v>157851.54093755249</v>
      </c>
      <c r="AB40" s="6">
        <v>549</v>
      </c>
      <c r="AC40" s="7">
        <v>80.615826486457337</v>
      </c>
      <c r="AD40" s="8">
        <v>118279.68234254577</v>
      </c>
      <c r="AE40" s="6">
        <v>369</v>
      </c>
      <c r="AF40" s="9">
        <v>83.449102175849205</v>
      </c>
      <c r="AG40" s="10">
        <v>128114.15333160439</v>
      </c>
      <c r="AH40" s="6">
        <v>478</v>
      </c>
      <c r="AI40" s="7">
        <v>80.650909437688171</v>
      </c>
      <c r="AJ40" s="8">
        <v>139936.28748978884</v>
      </c>
    </row>
    <row r="41" spans="1:36" ht="15.75" x14ac:dyDescent="0.25">
      <c r="A41" s="5" t="s">
        <v>73</v>
      </c>
      <c r="B41" s="6">
        <v>573</v>
      </c>
      <c r="C41" s="7">
        <v>82.036762662143573</v>
      </c>
      <c r="D41" s="13">
        <v>136172.83393291984</v>
      </c>
      <c r="E41" s="12">
        <f t="shared" si="1"/>
        <v>78027033.843563065</v>
      </c>
      <c r="F41" s="6">
        <v>843</v>
      </c>
      <c r="G41" s="9">
        <v>81.630710191883921</v>
      </c>
      <c r="H41" s="10">
        <v>148373.63713420127</v>
      </c>
      <c r="I41" s="17">
        <f t="shared" si="0"/>
        <v>125078976.10413167</v>
      </c>
      <c r="J41" s="6">
        <v>834</v>
      </c>
      <c r="K41" s="7">
        <v>80.195617428653449</v>
      </c>
      <c r="L41" s="8">
        <v>122260.46404630831</v>
      </c>
      <c r="M41" s="6">
        <v>1208</v>
      </c>
      <c r="N41" s="9">
        <v>83.419774068859056</v>
      </c>
      <c r="O41" s="10">
        <v>124621.77308429345</v>
      </c>
      <c r="P41" s="6">
        <v>555</v>
      </c>
      <c r="Q41" s="7">
        <v>76.627113195268834</v>
      </c>
      <c r="R41" s="8">
        <v>139706.80149215218</v>
      </c>
      <c r="S41" s="6">
        <v>398</v>
      </c>
      <c r="T41" s="9">
        <v>86.15759181188281</v>
      </c>
      <c r="U41" s="10">
        <v>121790.53904055637</v>
      </c>
      <c r="V41" s="6">
        <v>306</v>
      </c>
      <c r="W41" s="7">
        <v>82.299573417537204</v>
      </c>
      <c r="X41" s="8">
        <v>129092.35976281662</v>
      </c>
      <c r="Y41" s="6">
        <v>667</v>
      </c>
      <c r="Z41" s="9">
        <v>81.223676319717256</v>
      </c>
      <c r="AA41" s="10">
        <v>157527.71574062045</v>
      </c>
      <c r="AB41" s="6">
        <v>508</v>
      </c>
      <c r="AC41" s="7">
        <v>81.405960081576652</v>
      </c>
      <c r="AD41" s="8">
        <v>119438.96774234981</v>
      </c>
      <c r="AE41" s="6">
        <v>360</v>
      </c>
      <c r="AF41" s="9">
        <v>83.859106689281845</v>
      </c>
      <c r="AG41" s="10">
        <v>128743.60745071367</v>
      </c>
      <c r="AH41" s="6">
        <v>515</v>
      </c>
      <c r="AI41" s="7">
        <v>80.437836475481873</v>
      </c>
      <c r="AJ41" s="8">
        <v>139566.58751363869</v>
      </c>
    </row>
    <row r="42" spans="1:36" ht="15.75" x14ac:dyDescent="0.25">
      <c r="A42" s="5" t="s">
        <v>74</v>
      </c>
      <c r="B42" s="6">
        <v>493</v>
      </c>
      <c r="C42" s="7">
        <v>82.033942746716662</v>
      </c>
      <c r="D42" s="13">
        <v>136168.15315490431</v>
      </c>
      <c r="E42" s="12">
        <f t="shared" si="1"/>
        <v>67130899.50536783</v>
      </c>
      <c r="F42" s="6">
        <v>558</v>
      </c>
      <c r="G42" s="9">
        <v>81.40459977515431</v>
      </c>
      <c r="H42" s="10">
        <v>147962.65424742692</v>
      </c>
      <c r="I42" s="17">
        <f t="shared" si="0"/>
        <v>82563161.070064217</v>
      </c>
      <c r="J42" s="6">
        <v>638</v>
      </c>
      <c r="K42" s="7">
        <v>80.569980050531825</v>
      </c>
      <c r="L42" s="8">
        <v>122831.19034457719</v>
      </c>
      <c r="M42" s="6">
        <v>1062</v>
      </c>
      <c r="N42" s="9">
        <v>84.786851527350109</v>
      </c>
      <c r="O42" s="10">
        <v>126664.06603848071</v>
      </c>
      <c r="P42" s="6">
        <v>410</v>
      </c>
      <c r="Q42" s="7">
        <v>78.615569914865318</v>
      </c>
      <c r="R42" s="8">
        <v>143332.16223740802</v>
      </c>
      <c r="S42" s="6">
        <v>358</v>
      </c>
      <c r="T42" s="9">
        <v>85.571157113832214</v>
      </c>
      <c r="U42" s="10">
        <v>120961.56742603386</v>
      </c>
      <c r="V42" s="6">
        <v>221</v>
      </c>
      <c r="W42" s="7">
        <v>82.397550254489417</v>
      </c>
      <c r="X42" s="8">
        <v>129246.0429541023</v>
      </c>
      <c r="Y42" s="6">
        <v>507</v>
      </c>
      <c r="Z42" s="9">
        <v>81.850985189743625</v>
      </c>
      <c r="AA42" s="10">
        <v>158744.33800935533</v>
      </c>
      <c r="AB42" s="6">
        <v>443</v>
      </c>
      <c r="AC42" s="7">
        <v>80.999870971825118</v>
      </c>
      <c r="AD42" s="8">
        <v>118843.15308662278</v>
      </c>
      <c r="AE42" s="6">
        <v>309</v>
      </c>
      <c r="AF42" s="9">
        <v>82.565693366760442</v>
      </c>
      <c r="AG42" s="10">
        <v>126757.91139884407</v>
      </c>
      <c r="AH42" s="6">
        <v>410</v>
      </c>
      <c r="AI42" s="7">
        <v>79.902887128227746</v>
      </c>
      <c r="AJ42" s="8">
        <v>138638.40423372583</v>
      </c>
    </row>
    <row r="43" spans="1:36" ht="15.75" x14ac:dyDescent="0.25">
      <c r="A43" s="5" t="s">
        <v>75</v>
      </c>
      <c r="B43" s="6">
        <v>198</v>
      </c>
      <c r="C43" s="7">
        <v>82.646071892260949</v>
      </c>
      <c r="D43" s="13">
        <v>137184.22641007393</v>
      </c>
      <c r="E43" s="12">
        <f t="shared" si="1"/>
        <v>27162476.829194639</v>
      </c>
      <c r="F43" s="6">
        <v>230</v>
      </c>
      <c r="G43" s="9">
        <v>80.892070460595349</v>
      </c>
      <c r="H43" s="10">
        <v>147031.0705534929</v>
      </c>
      <c r="I43" s="17">
        <f t="shared" si="0"/>
        <v>33817146.227303363</v>
      </c>
      <c r="J43" s="6">
        <v>283</v>
      </c>
      <c r="K43" s="7">
        <v>81.018560291807447</v>
      </c>
      <c r="L43" s="8">
        <v>123515.06348152453</v>
      </c>
      <c r="M43" s="6">
        <v>329</v>
      </c>
      <c r="N43" s="9">
        <v>85.568807191853693</v>
      </c>
      <c r="O43" s="10">
        <v>127832.2387226132</v>
      </c>
      <c r="P43" s="6">
        <v>150</v>
      </c>
      <c r="Q43" s="7">
        <v>75.378507537485945</v>
      </c>
      <c r="R43" s="8">
        <v>137430.33960418662</v>
      </c>
      <c r="S43" s="6">
        <v>115</v>
      </c>
      <c r="T43" s="9">
        <v>86.429440479574453</v>
      </c>
      <c r="U43" s="10">
        <v>122174.81853443905</v>
      </c>
      <c r="V43" s="6">
        <v>112</v>
      </c>
      <c r="W43" s="7">
        <v>81.144339936081451</v>
      </c>
      <c r="X43" s="8">
        <v>127280.29914080666</v>
      </c>
      <c r="Y43" s="6">
        <v>192</v>
      </c>
      <c r="Z43" s="9">
        <v>83.262885123041642</v>
      </c>
      <c r="AA43" s="10">
        <v>161482.62050806044</v>
      </c>
      <c r="AB43" s="6">
        <v>150</v>
      </c>
      <c r="AC43" s="7">
        <v>81.742787852172683</v>
      </c>
      <c r="AD43" s="8">
        <v>119933.16203950731</v>
      </c>
      <c r="AE43" s="6">
        <v>128</v>
      </c>
      <c r="AF43" s="9">
        <v>81.796353916187854</v>
      </c>
      <c r="AG43" s="10">
        <v>125576.7929713862</v>
      </c>
      <c r="AH43" s="6">
        <v>145</v>
      </c>
      <c r="AI43" s="7">
        <v>80.025730065649498</v>
      </c>
      <c r="AJ43" s="8">
        <v>138851.54733064806</v>
      </c>
    </row>
    <row r="44" spans="1:36" ht="15.75" x14ac:dyDescent="0.25">
      <c r="A44" s="5" t="s">
        <v>76</v>
      </c>
      <c r="B44" s="6">
        <v>418</v>
      </c>
      <c r="C44" s="7">
        <v>83.587107657729888</v>
      </c>
      <c r="D44" s="13">
        <v>138746.25181012391</v>
      </c>
      <c r="E44" s="12">
        <f t="shared" si="1"/>
        <v>57995933.256631792</v>
      </c>
      <c r="F44" s="6">
        <v>622</v>
      </c>
      <c r="G44" s="9">
        <v>85.59575708812072</v>
      </c>
      <c r="H44" s="10">
        <v>155580.58692086162</v>
      </c>
      <c r="I44" s="17">
        <f t="shared" si="0"/>
        <v>96771125.064775929</v>
      </c>
      <c r="J44" s="6">
        <v>631</v>
      </c>
      <c r="K44" s="7">
        <v>81.939337445251482</v>
      </c>
      <c r="L44" s="8">
        <v>124918.81403140287</v>
      </c>
      <c r="M44" s="6">
        <v>960</v>
      </c>
      <c r="N44" s="9">
        <v>86.514017490623417</v>
      </c>
      <c r="O44" s="10">
        <v>129244.2994082845</v>
      </c>
      <c r="P44" s="6">
        <v>486</v>
      </c>
      <c r="Q44" s="7">
        <v>79.675037481302553</v>
      </c>
      <c r="R44" s="8">
        <v>145263.78694333206</v>
      </c>
      <c r="S44" s="6">
        <v>372</v>
      </c>
      <c r="T44" s="9">
        <v>85.476505434733483</v>
      </c>
      <c r="U44" s="10">
        <v>120827.76982589088</v>
      </c>
      <c r="V44" s="6">
        <v>212</v>
      </c>
      <c r="W44" s="7">
        <v>82.055462318823203</v>
      </c>
      <c r="X44" s="8">
        <v>128709.45525348937</v>
      </c>
      <c r="Y44" s="6">
        <v>529</v>
      </c>
      <c r="Z44" s="9">
        <v>84.329683817145437</v>
      </c>
      <c r="AA44" s="10">
        <v>163551.60296553699</v>
      </c>
      <c r="AB44" s="6">
        <v>435</v>
      </c>
      <c r="AC44" s="7">
        <v>81.762618794412589</v>
      </c>
      <c r="AD44" s="8">
        <v>119962.25803282426</v>
      </c>
      <c r="AE44" s="6">
        <v>282</v>
      </c>
      <c r="AF44" s="9">
        <v>82.401709270859456</v>
      </c>
      <c r="AG44" s="10">
        <v>126506.15693943799</v>
      </c>
      <c r="AH44" s="6">
        <v>373</v>
      </c>
      <c r="AI44" s="7">
        <v>83.671823653324211</v>
      </c>
      <c r="AJ44" s="8">
        <v>145177.8343379102</v>
      </c>
    </row>
    <row r="45" spans="1:36" ht="15.75" x14ac:dyDescent="0.25">
      <c r="A45" s="5" t="s">
        <v>77</v>
      </c>
      <c r="B45" s="6">
        <v>756</v>
      </c>
      <c r="C45" s="7">
        <v>84.943811254674046</v>
      </c>
      <c r="D45" s="13">
        <v>140998.24430236453</v>
      </c>
      <c r="E45" s="12">
        <f t="shared" si="1"/>
        <v>106594672.69258758</v>
      </c>
      <c r="F45" s="6">
        <v>1052</v>
      </c>
      <c r="G45" s="9">
        <v>86.715322994408666</v>
      </c>
      <c r="H45" s="10">
        <v>157615.53265558471</v>
      </c>
      <c r="I45" s="17">
        <f t="shared" si="0"/>
        <v>165811540.35367513</v>
      </c>
      <c r="J45" s="6">
        <v>974</v>
      </c>
      <c r="K45" s="7">
        <v>83.3959990811057</v>
      </c>
      <c r="L45" s="8">
        <v>127139.53547813819</v>
      </c>
      <c r="M45" s="6">
        <v>1566</v>
      </c>
      <c r="N45" s="9">
        <v>89.041125996114687</v>
      </c>
      <c r="O45" s="10">
        <v>133019.57626854978</v>
      </c>
      <c r="P45" s="6">
        <v>730</v>
      </c>
      <c r="Q45" s="7">
        <v>83.06545577177215</v>
      </c>
      <c r="R45" s="8">
        <v>151445.20857505864</v>
      </c>
      <c r="S45" s="6">
        <v>496</v>
      </c>
      <c r="T45" s="9">
        <v>87.655116482084608</v>
      </c>
      <c r="U45" s="10">
        <v>123907.40805900139</v>
      </c>
      <c r="V45" s="6">
        <v>337</v>
      </c>
      <c r="W45" s="7">
        <v>86.285249482930922</v>
      </c>
      <c r="X45" s="8">
        <v>135344.15800630805</v>
      </c>
      <c r="Y45" s="6">
        <v>833</v>
      </c>
      <c r="Z45" s="9">
        <v>85.846056334730719</v>
      </c>
      <c r="AA45" s="10">
        <v>166492.50283279744</v>
      </c>
      <c r="AB45" s="6">
        <v>686</v>
      </c>
      <c r="AC45" s="7">
        <v>84.629565085673349</v>
      </c>
      <c r="AD45" s="8">
        <v>124168.64667141781</v>
      </c>
      <c r="AE45" s="6">
        <v>420</v>
      </c>
      <c r="AF45" s="9">
        <v>85.375591734216243</v>
      </c>
      <c r="AG45" s="10">
        <v>131071.77147532359</v>
      </c>
      <c r="AH45" s="6">
        <v>638</v>
      </c>
      <c r="AI45" s="7">
        <v>85.893277735608891</v>
      </c>
      <c r="AJ45" s="8">
        <v>149032.24886678951</v>
      </c>
    </row>
    <row r="46" spans="1:36" ht="15.75" x14ac:dyDescent="0.25">
      <c r="A46" s="5" t="s">
        <v>78</v>
      </c>
      <c r="B46" s="6">
        <v>655</v>
      </c>
      <c r="C46" s="7">
        <v>86.522706896932775</v>
      </c>
      <c r="D46" s="13">
        <v>143619.05340201373</v>
      </c>
      <c r="E46" s="12">
        <f t="shared" si="1"/>
        <v>94070479.978318989</v>
      </c>
      <c r="F46" s="6">
        <v>976</v>
      </c>
      <c r="G46" s="9">
        <v>89.918061519502857</v>
      </c>
      <c r="H46" s="10">
        <v>163436.89526092072</v>
      </c>
      <c r="I46" s="17">
        <f t="shared" si="0"/>
        <v>159514409.77465862</v>
      </c>
      <c r="J46" s="6">
        <v>850</v>
      </c>
      <c r="K46" s="7">
        <v>83.093147915230816</v>
      </c>
      <c r="L46" s="8">
        <v>126677.83039668821</v>
      </c>
      <c r="M46" s="6">
        <v>1503</v>
      </c>
      <c r="N46" s="9">
        <v>90.196443064706671</v>
      </c>
      <c r="O46" s="10">
        <v>134745.51790732279</v>
      </c>
      <c r="P46" s="6">
        <v>612</v>
      </c>
      <c r="Q46" s="7">
        <v>81.992947863672185</v>
      </c>
      <c r="R46" s="8">
        <v>149489.80867588907</v>
      </c>
      <c r="S46" s="6">
        <v>468</v>
      </c>
      <c r="T46" s="9">
        <v>90.280636788772611</v>
      </c>
      <c r="U46" s="10">
        <v>127618.78771445455</v>
      </c>
      <c r="V46" s="6">
        <v>291</v>
      </c>
      <c r="W46" s="7">
        <v>85.729111682217678</v>
      </c>
      <c r="X46" s="8">
        <v>134471.81884261468</v>
      </c>
      <c r="Y46" s="6">
        <v>763</v>
      </c>
      <c r="Z46" s="9">
        <v>86.751417517761723</v>
      </c>
      <c r="AA46" s="10">
        <v>168248.3883768316</v>
      </c>
      <c r="AB46" s="6">
        <v>572</v>
      </c>
      <c r="AC46" s="7">
        <v>84.92394019717257</v>
      </c>
      <c r="AD46" s="8">
        <v>124600.55435251723</v>
      </c>
      <c r="AE46" s="6">
        <v>349</v>
      </c>
      <c r="AF46" s="9">
        <v>87.458408461147158</v>
      </c>
      <c r="AG46" s="10">
        <v>134269.3888799226</v>
      </c>
      <c r="AH46" s="6">
        <v>487</v>
      </c>
      <c r="AI46" s="7">
        <v>85.686396738454249</v>
      </c>
      <c r="AJ46" s="8">
        <v>148673.29248432771</v>
      </c>
    </row>
    <row r="47" spans="1:36" ht="15.75" x14ac:dyDescent="0.25">
      <c r="A47" s="5" t="s">
        <v>79</v>
      </c>
      <c r="B47" s="6">
        <v>727</v>
      </c>
      <c r="C47" s="7">
        <v>89.34009477724139</v>
      </c>
      <c r="D47" s="13">
        <v>148295.63594257424</v>
      </c>
      <c r="E47" s="12">
        <f t="shared" si="1"/>
        <v>107810927.33025147</v>
      </c>
      <c r="F47" s="6">
        <v>1023</v>
      </c>
      <c r="G47" s="9">
        <v>91.420401774926177</v>
      </c>
      <c r="H47" s="10">
        <v>166167.57942851289</v>
      </c>
      <c r="I47" s="17">
        <f t="shared" si="0"/>
        <v>169989433.75536868</v>
      </c>
      <c r="J47" s="6">
        <v>823</v>
      </c>
      <c r="K47" s="7">
        <v>87.5903386834255</v>
      </c>
      <c r="L47" s="8">
        <v>133533.92363287302</v>
      </c>
      <c r="M47" s="6">
        <v>1589</v>
      </c>
      <c r="N47" s="9">
        <v>92.397760671563006</v>
      </c>
      <c r="O47" s="10">
        <v>138034.09194567564</v>
      </c>
      <c r="P47" s="6">
        <v>677</v>
      </c>
      <c r="Q47" s="7">
        <v>88.162105179820671</v>
      </c>
      <c r="R47" s="8">
        <v>160737.43631840125</v>
      </c>
      <c r="S47" s="6">
        <v>448</v>
      </c>
      <c r="T47" s="9">
        <v>91.00330406234572</v>
      </c>
      <c r="U47" s="10">
        <v>128640.33479979567</v>
      </c>
      <c r="V47" s="6">
        <v>317</v>
      </c>
      <c r="W47" s="7">
        <v>88.513956097070164</v>
      </c>
      <c r="X47" s="8">
        <v>138840.03270031861</v>
      </c>
      <c r="Y47" s="6">
        <v>852</v>
      </c>
      <c r="Z47" s="9">
        <v>89.164857280560113</v>
      </c>
      <c r="AA47" s="10">
        <v>172929.08826801498</v>
      </c>
      <c r="AB47" s="6">
        <v>629</v>
      </c>
      <c r="AC47" s="7">
        <v>89.707740708301969</v>
      </c>
      <c r="AD47" s="8">
        <v>131619.3548723078</v>
      </c>
      <c r="AE47" s="6">
        <v>375</v>
      </c>
      <c r="AF47" s="9">
        <v>88.536794935321083</v>
      </c>
      <c r="AG47" s="10">
        <v>135924.96774776847</v>
      </c>
      <c r="AH47" s="6">
        <v>506</v>
      </c>
      <c r="AI47" s="7">
        <v>89.72037621616245</v>
      </c>
      <c r="AJ47" s="8">
        <v>155672.5949826662</v>
      </c>
    </row>
    <row r="48" spans="1:36" ht="15.75" x14ac:dyDescent="0.25">
      <c r="A48" s="11" t="s">
        <v>80</v>
      </c>
      <c r="B48" s="6">
        <v>763</v>
      </c>
      <c r="C48" s="7">
        <v>91.539714497075252</v>
      </c>
      <c r="D48" s="13">
        <v>151946.78502628536</v>
      </c>
      <c r="E48" s="12">
        <f t="shared" si="1"/>
        <v>115935396.97505572</v>
      </c>
      <c r="F48" s="6">
        <v>1001</v>
      </c>
      <c r="G48" s="9">
        <v>94.00450120026133</v>
      </c>
      <c r="H48" s="10">
        <v>170864.49103876491</v>
      </c>
      <c r="I48" s="17">
        <f t="shared" si="0"/>
        <v>171035355.52980369</v>
      </c>
      <c r="J48" s="6">
        <v>987</v>
      </c>
      <c r="K48" s="7">
        <v>91.500054247324798</v>
      </c>
      <c r="L48" s="8">
        <v>139494.39447227595</v>
      </c>
      <c r="M48" s="6">
        <v>1626</v>
      </c>
      <c r="N48" s="9">
        <v>94.934106795750822</v>
      </c>
      <c r="O48" s="10">
        <v>141823.16899221437</v>
      </c>
      <c r="P48" s="6">
        <v>647</v>
      </c>
      <c r="Q48" s="7">
        <v>90.256682432386668</v>
      </c>
      <c r="R48" s="8">
        <v>164556.2763638107</v>
      </c>
      <c r="S48" s="6">
        <v>512</v>
      </c>
      <c r="T48" s="9">
        <v>96.900211225529546</v>
      </c>
      <c r="U48" s="10">
        <v>136976.07732663385</v>
      </c>
      <c r="V48" s="6">
        <v>345</v>
      </c>
      <c r="W48" s="7">
        <v>90.823356502401467</v>
      </c>
      <c r="X48" s="8">
        <v>142462.48097777099</v>
      </c>
      <c r="Y48" s="6">
        <v>901</v>
      </c>
      <c r="Z48" s="9">
        <v>90.159285017764432</v>
      </c>
      <c r="AA48" s="10">
        <v>174857.7122482236</v>
      </c>
      <c r="AB48" s="6">
        <v>706</v>
      </c>
      <c r="AC48" s="7">
        <v>90.632840782559583</v>
      </c>
      <c r="AD48" s="8">
        <v>132976.66332757295</v>
      </c>
      <c r="AE48" s="6">
        <v>406</v>
      </c>
      <c r="AF48" s="9">
        <v>92.962844842974519</v>
      </c>
      <c r="AG48" s="10">
        <v>142720.00354488881</v>
      </c>
      <c r="AH48" s="6">
        <v>593</v>
      </c>
      <c r="AI48" s="7">
        <v>94.016678286755194</v>
      </c>
      <c r="AJ48" s="8">
        <v>163127.04981628395</v>
      </c>
    </row>
    <row r="49" spans="1:36" ht="15.75" x14ac:dyDescent="0.25">
      <c r="A49" s="11" t="s">
        <v>81</v>
      </c>
      <c r="B49" s="6">
        <v>603</v>
      </c>
      <c r="C49" s="7">
        <v>91.793047781833664</v>
      </c>
      <c r="D49" s="13">
        <v>152367.29298144637</v>
      </c>
      <c r="E49" s="12">
        <f t="shared" si="1"/>
        <v>91877477.667812169</v>
      </c>
      <c r="F49" s="6">
        <v>752</v>
      </c>
      <c r="G49" s="9">
        <v>93.674646786129316</v>
      </c>
      <c r="H49" s="10">
        <v>170264.94095480148</v>
      </c>
      <c r="I49" s="17">
        <f t="shared" si="0"/>
        <v>128039235.59801072</v>
      </c>
      <c r="J49" s="6">
        <v>853</v>
      </c>
      <c r="K49" s="7">
        <v>90.62365343366217</v>
      </c>
      <c r="L49" s="8">
        <v>138158.29689482067</v>
      </c>
      <c r="M49" s="6">
        <v>1322</v>
      </c>
      <c r="N49" s="9">
        <v>93.478685702073676</v>
      </c>
      <c r="O49" s="10">
        <v>139648.89845141181</v>
      </c>
      <c r="P49" s="6">
        <v>463</v>
      </c>
      <c r="Q49" s="7">
        <v>90.502534925796851</v>
      </c>
      <c r="R49" s="8">
        <v>165004.51542777856</v>
      </c>
      <c r="S49" s="6">
        <v>444</v>
      </c>
      <c r="T49" s="9">
        <v>97.519797468601467</v>
      </c>
      <c r="U49" s="10">
        <v>137851.91125999868</v>
      </c>
      <c r="V49" s="6">
        <v>286</v>
      </c>
      <c r="W49" s="7">
        <v>93.849880385154663</v>
      </c>
      <c r="X49" s="8">
        <v>147209.78516999268</v>
      </c>
      <c r="Y49" s="6">
        <v>643</v>
      </c>
      <c r="Z49" s="9">
        <v>91.185404936640367</v>
      </c>
      <c r="AA49" s="10">
        <v>176847.80102800514</v>
      </c>
      <c r="AB49" s="6">
        <v>505</v>
      </c>
      <c r="AC49" s="7">
        <v>91.82889168928466</v>
      </c>
      <c r="AD49" s="8">
        <v>134731.51132056251</v>
      </c>
      <c r="AE49" s="6">
        <v>419</v>
      </c>
      <c r="AF49" s="9">
        <v>93.044203535881849</v>
      </c>
      <c r="AG49" s="10">
        <v>142844.90842446464</v>
      </c>
      <c r="AH49" s="6">
        <v>505</v>
      </c>
      <c r="AI49" s="7">
        <v>93.750353315036534</v>
      </c>
      <c r="AJ49" s="8">
        <v>162664.95300834993</v>
      </c>
    </row>
    <row r="50" spans="1:36" ht="15.75" x14ac:dyDescent="0.25">
      <c r="A50" s="11" t="s">
        <v>82</v>
      </c>
      <c r="B50" s="6">
        <v>506</v>
      </c>
      <c r="C50" s="7">
        <v>93.625015189216583</v>
      </c>
      <c r="D50" s="13">
        <v>155408.17593977883</v>
      </c>
      <c r="E50" s="12">
        <f t="shared" si="1"/>
        <v>78636537.025528088</v>
      </c>
      <c r="F50" s="6">
        <v>692</v>
      </c>
      <c r="G50" s="9">
        <v>97.470145381101034</v>
      </c>
      <c r="H50" s="10">
        <v>177163.71630478851</v>
      </c>
      <c r="I50" s="17">
        <f t="shared" si="0"/>
        <v>122597291.68291365</v>
      </c>
      <c r="J50" s="6">
        <v>621</v>
      </c>
      <c r="K50" s="7">
        <v>94.28988291186856</v>
      </c>
      <c r="L50" s="8">
        <v>143747.56637958449</v>
      </c>
      <c r="M50" s="6">
        <v>1281</v>
      </c>
      <c r="N50" s="9">
        <v>96.318014680812453</v>
      </c>
      <c r="O50" s="10">
        <v>143890.60511688373</v>
      </c>
      <c r="P50" s="6">
        <v>390</v>
      </c>
      <c r="Q50" s="7">
        <v>93.411488893394448</v>
      </c>
      <c r="R50" s="8">
        <v>170308.129743319</v>
      </c>
      <c r="S50" s="6">
        <v>416</v>
      </c>
      <c r="T50" s="9">
        <v>98.892576163289974</v>
      </c>
      <c r="U50" s="10">
        <v>139792.44202105512</v>
      </c>
      <c r="V50" s="6">
        <v>255</v>
      </c>
      <c r="W50" s="7">
        <v>95.481860896660635</v>
      </c>
      <c r="X50" s="8">
        <v>149769.65524669885</v>
      </c>
      <c r="Y50" s="6">
        <v>563</v>
      </c>
      <c r="Z50" s="9">
        <v>92.939588121787196</v>
      </c>
      <c r="AA50" s="10">
        <v>180249.91827592521</v>
      </c>
      <c r="AB50" s="6">
        <v>417</v>
      </c>
      <c r="AC50" s="7">
        <v>94.797590091108958</v>
      </c>
      <c r="AD50" s="8">
        <v>139087.19083465383</v>
      </c>
      <c r="AE50" s="6">
        <v>290</v>
      </c>
      <c r="AF50" s="9">
        <v>97.09866729497007</v>
      </c>
      <c r="AG50" s="10">
        <v>149069.47139956628</v>
      </c>
      <c r="AH50" s="6">
        <v>433</v>
      </c>
      <c r="AI50" s="7">
        <v>96.603226321047487</v>
      </c>
      <c r="AJ50" s="8">
        <v>167614.93385697817</v>
      </c>
    </row>
    <row r="51" spans="1:36" ht="15.75" x14ac:dyDescent="0.25">
      <c r="A51" s="11" t="s">
        <v>83</v>
      </c>
      <c r="B51" s="6">
        <v>559</v>
      </c>
      <c r="C51" s="7">
        <v>98.235732246344838</v>
      </c>
      <c r="D51" s="13">
        <v>163061.50583430103</v>
      </c>
      <c r="E51" s="12">
        <f t="shared" si="1"/>
        <v>91151381.76137428</v>
      </c>
      <c r="F51" s="6">
        <v>750</v>
      </c>
      <c r="G51" s="9">
        <v>102.56562244385563</v>
      </c>
      <c r="H51" s="10">
        <v>186425.35892626803</v>
      </c>
      <c r="I51" s="17">
        <f t="shared" si="0"/>
        <v>139819019.19470102</v>
      </c>
      <c r="J51" s="6">
        <v>752</v>
      </c>
      <c r="K51" s="7">
        <v>97.48351131717547</v>
      </c>
      <c r="L51" s="8">
        <v>148616.34229706734</v>
      </c>
      <c r="M51" s="6">
        <v>1179</v>
      </c>
      <c r="N51" s="9">
        <v>98.661787295250775</v>
      </c>
      <c r="O51" s="10">
        <v>147391.99435196619</v>
      </c>
      <c r="P51" s="6">
        <v>417</v>
      </c>
      <c r="Q51" s="7">
        <v>97.259318492191639</v>
      </c>
      <c r="R51" s="8">
        <v>177323.50515704366</v>
      </c>
      <c r="S51" s="6">
        <v>379</v>
      </c>
      <c r="T51" s="9">
        <v>101.74272295667012</v>
      </c>
      <c r="U51" s="10">
        <v>143821.34889984055</v>
      </c>
      <c r="V51" s="6">
        <v>230</v>
      </c>
      <c r="W51" s="7">
        <v>97.034953604773492</v>
      </c>
      <c r="X51" s="8">
        <v>152205.78455205425</v>
      </c>
      <c r="Y51" s="6">
        <v>574</v>
      </c>
      <c r="Z51" s="9">
        <v>96.087867057276512</v>
      </c>
      <c r="AA51" s="10">
        <v>186355.78803820722</v>
      </c>
      <c r="AB51" s="6">
        <v>515</v>
      </c>
      <c r="AC51" s="7">
        <v>96.17157529711433</v>
      </c>
      <c r="AD51" s="8">
        <v>141103.10434435372</v>
      </c>
      <c r="AE51" s="6">
        <v>308</v>
      </c>
      <c r="AF51" s="9">
        <v>99.231367713095807</v>
      </c>
      <c r="AG51" s="10">
        <v>152343.67209500782</v>
      </c>
      <c r="AH51" s="6">
        <v>449</v>
      </c>
      <c r="AI51" s="7">
        <v>99.919052722133699</v>
      </c>
      <c r="AJ51" s="8">
        <v>173368.17879573643</v>
      </c>
    </row>
    <row r="52" spans="1:36" ht="15.75" x14ac:dyDescent="0.25">
      <c r="A52" s="11" t="s">
        <v>84</v>
      </c>
      <c r="B52" s="6">
        <v>582</v>
      </c>
      <c r="C52" s="7">
        <v>101.54239209305318</v>
      </c>
      <c r="D52" s="13">
        <v>168550.23098101202</v>
      </c>
      <c r="E52" s="12">
        <f t="shared" si="1"/>
        <v>98096234.430949003</v>
      </c>
      <c r="F52" s="6">
        <v>804</v>
      </c>
      <c r="G52" s="9">
        <v>103.45005189564888</v>
      </c>
      <c r="H52" s="10">
        <v>188032.91586461526</v>
      </c>
      <c r="I52" s="17">
        <f t="shared" si="0"/>
        <v>151178464.35515067</v>
      </c>
      <c r="J52" s="6">
        <v>759</v>
      </c>
      <c r="K52" s="7">
        <v>101.60719039358771</v>
      </c>
      <c r="L52" s="8">
        <v>154903.00650173842</v>
      </c>
      <c r="M52" s="6">
        <v>1349</v>
      </c>
      <c r="N52" s="9">
        <v>103.3560746163662</v>
      </c>
      <c r="O52" s="10">
        <v>154404.84491233362</v>
      </c>
      <c r="P52" s="6">
        <v>464</v>
      </c>
      <c r="Q52" s="7">
        <v>101.13955037608847</v>
      </c>
      <c r="R52" s="8">
        <v>184397.95652213262</v>
      </c>
      <c r="S52" s="6">
        <v>438</v>
      </c>
      <c r="T52" s="9">
        <v>105.14288122822126</v>
      </c>
      <c r="U52" s="10">
        <v>148627.7403043216</v>
      </c>
      <c r="V52" s="6">
        <v>266</v>
      </c>
      <c r="W52" s="7">
        <v>100.53721515355542</v>
      </c>
      <c r="X52" s="8">
        <v>157699.31494430895</v>
      </c>
      <c r="Y52" s="6">
        <v>617</v>
      </c>
      <c r="Z52" s="9">
        <v>101.3722961817781</v>
      </c>
      <c r="AA52" s="10">
        <v>196604.57369645828</v>
      </c>
      <c r="AB52" s="6">
        <v>507</v>
      </c>
      <c r="AC52" s="7">
        <v>99.491637825824682</v>
      </c>
      <c r="AD52" s="8">
        <v>145974.30592310597</v>
      </c>
      <c r="AE52" s="6">
        <v>349</v>
      </c>
      <c r="AF52" s="9">
        <v>103.06874281973309</v>
      </c>
      <c r="AG52" s="10">
        <v>158234.95252803911</v>
      </c>
      <c r="AH52" s="6">
        <v>449</v>
      </c>
      <c r="AI52" s="7">
        <v>104.94458874551047</v>
      </c>
      <c r="AJ52" s="8">
        <v>182087.91746527847</v>
      </c>
    </row>
    <row r="53" spans="1:36" ht="15.75" x14ac:dyDescent="0.25">
      <c r="A53" s="11" t="s">
        <v>85</v>
      </c>
      <c r="B53" s="6">
        <v>676</v>
      </c>
      <c r="C53" s="7">
        <v>101.39723089095456</v>
      </c>
      <c r="D53" s="13">
        <v>168309.27788114038</v>
      </c>
      <c r="E53" s="12">
        <f t="shared" si="1"/>
        <v>113777071.8476509</v>
      </c>
      <c r="F53" s="6">
        <v>724</v>
      </c>
      <c r="G53" s="9">
        <v>105.4992460462378</v>
      </c>
      <c r="H53" s="10">
        <v>191757.57278113975</v>
      </c>
      <c r="I53" s="17">
        <f t="shared" si="0"/>
        <v>138832482.69354519</v>
      </c>
      <c r="J53" s="6">
        <v>808</v>
      </c>
      <c r="K53" s="7">
        <v>100.89555887372723</v>
      </c>
      <c r="L53" s="8">
        <v>153818.10432581182</v>
      </c>
      <c r="M53" s="6">
        <v>1225</v>
      </c>
      <c r="N53" s="9">
        <v>101.60270649590122</v>
      </c>
      <c r="O53" s="10">
        <v>151785.46783440659</v>
      </c>
      <c r="P53" s="6">
        <v>534</v>
      </c>
      <c r="Q53" s="7">
        <v>100.13712510778331</v>
      </c>
      <c r="R53" s="8">
        <v>182570.33151930955</v>
      </c>
      <c r="S53" s="6">
        <v>438</v>
      </c>
      <c r="T53" s="9">
        <v>103.2016044234954</v>
      </c>
      <c r="U53" s="10">
        <v>145883.59270801095</v>
      </c>
      <c r="V53" s="6">
        <v>312</v>
      </c>
      <c r="W53" s="7">
        <v>101.9651730200591</v>
      </c>
      <c r="X53" s="8">
        <v>159939.16192010816</v>
      </c>
      <c r="Y53" s="6">
        <v>607</v>
      </c>
      <c r="Z53" s="9">
        <v>102.13042858847629</v>
      </c>
      <c r="AA53" s="10">
        <v>198074.91918766714</v>
      </c>
      <c r="AB53" s="6">
        <v>520</v>
      </c>
      <c r="AC53" s="7">
        <v>100.55585904651205</v>
      </c>
      <c r="AD53" s="8">
        <v>147535.7331689861</v>
      </c>
      <c r="AE53" s="6">
        <v>371</v>
      </c>
      <c r="AF53" s="9">
        <v>102.58011322068637</v>
      </c>
      <c r="AG53" s="10">
        <v>157484.79026454684</v>
      </c>
      <c r="AH53" s="6">
        <v>546</v>
      </c>
      <c r="AI53" s="7">
        <v>101.8218171469709</v>
      </c>
      <c r="AJ53" s="8">
        <v>176669.63926823216</v>
      </c>
    </row>
    <row r="54" spans="1:36" ht="15.75" x14ac:dyDescent="0.25">
      <c r="A54" s="11" t="s">
        <v>86</v>
      </c>
      <c r="B54" s="6">
        <v>459</v>
      </c>
      <c r="C54" s="7">
        <v>100</v>
      </c>
      <c r="D54" s="13">
        <v>165990.01412784628</v>
      </c>
      <c r="E54" s="12">
        <f t="shared" si="1"/>
        <v>76189416.484681442</v>
      </c>
      <c r="F54" s="6">
        <v>528</v>
      </c>
      <c r="G54" s="9">
        <v>100</v>
      </c>
      <c r="H54" s="10">
        <v>181762.03145290437</v>
      </c>
      <c r="I54" s="17">
        <f t="shared" si="0"/>
        <v>95970352.607133508</v>
      </c>
      <c r="J54" s="6">
        <v>571</v>
      </c>
      <c r="K54" s="7">
        <v>100</v>
      </c>
      <c r="L54" s="8">
        <v>152452.79974941039</v>
      </c>
      <c r="M54" s="6">
        <v>1074</v>
      </c>
      <c r="N54" s="9">
        <v>100</v>
      </c>
      <c r="O54" s="10">
        <v>149391.16591400033</v>
      </c>
      <c r="P54" s="6">
        <v>358</v>
      </c>
      <c r="Q54" s="7">
        <v>100</v>
      </c>
      <c r="R54" s="8">
        <v>182320.32457772148</v>
      </c>
      <c r="S54" s="6">
        <v>367</v>
      </c>
      <c r="T54" s="9">
        <v>100</v>
      </c>
      <c r="U54" s="10">
        <v>141357.87279950306</v>
      </c>
      <c r="V54" s="6">
        <v>249</v>
      </c>
      <c r="W54" s="7">
        <v>100</v>
      </c>
      <c r="X54" s="8">
        <v>156856.65721240343</v>
      </c>
      <c r="Y54" s="6">
        <v>449</v>
      </c>
      <c r="Z54" s="9">
        <v>100</v>
      </c>
      <c r="AA54" s="10">
        <v>193943.09994114385</v>
      </c>
      <c r="AB54" s="6">
        <v>396</v>
      </c>
      <c r="AC54" s="7">
        <v>100</v>
      </c>
      <c r="AD54" s="8">
        <v>146720.17579875037</v>
      </c>
      <c r="AE54" s="6">
        <v>256</v>
      </c>
      <c r="AF54" s="9">
        <v>100</v>
      </c>
      <c r="AG54" s="10">
        <v>153523.70485860252</v>
      </c>
      <c r="AH54" s="6">
        <v>345</v>
      </c>
      <c r="AI54" s="7">
        <v>100</v>
      </c>
      <c r="AJ54" s="8">
        <v>173508.62930802442</v>
      </c>
    </row>
    <row r="55" spans="1:36" ht="15.75" x14ac:dyDescent="0.25">
      <c r="A55" s="11" t="s">
        <v>87</v>
      </c>
      <c r="B55" s="6">
        <v>482</v>
      </c>
      <c r="C55" s="7">
        <v>100.52743106528273</v>
      </c>
      <c r="D55" s="13">
        <v>166865.49702762373</v>
      </c>
      <c r="E55" s="12">
        <f t="shared" si="1"/>
        <v>80429169.56731464</v>
      </c>
      <c r="F55" s="6">
        <v>602</v>
      </c>
      <c r="G55" s="9">
        <v>104.72359043658312</v>
      </c>
      <c r="H55" s="10">
        <v>190347.72538795299</v>
      </c>
      <c r="I55" s="17">
        <f t="shared" si="0"/>
        <v>114589330.68354771</v>
      </c>
      <c r="J55" s="6">
        <v>622</v>
      </c>
      <c r="K55" s="7">
        <v>99.392546161616764</v>
      </c>
      <c r="L55" s="8">
        <v>151526.7193656099</v>
      </c>
      <c r="M55" s="6">
        <v>1013</v>
      </c>
      <c r="N55" s="9">
        <v>99.731597977386926</v>
      </c>
      <c r="O55" s="10">
        <v>148990.19700308191</v>
      </c>
      <c r="P55" s="6">
        <v>454</v>
      </c>
      <c r="Q55" s="7">
        <v>100.23457061213608</v>
      </c>
      <c r="R55" s="8">
        <v>182747.99447913191</v>
      </c>
      <c r="S55" s="6">
        <v>315</v>
      </c>
      <c r="T55" s="9">
        <v>107.69625080804576</v>
      </c>
      <c r="U55" s="10">
        <v>152237.12922707113</v>
      </c>
      <c r="V55" s="6">
        <v>238</v>
      </c>
      <c r="W55" s="7">
        <v>100.85525685762261</v>
      </c>
      <c r="X55" s="8">
        <v>158198.18452985008</v>
      </c>
      <c r="Y55" s="6">
        <v>417</v>
      </c>
      <c r="Z55" s="9">
        <v>100.15925808551593</v>
      </c>
      <c r="AA55" s="10">
        <v>194251.97000910036</v>
      </c>
      <c r="AB55" s="6">
        <v>427</v>
      </c>
      <c r="AC55" s="7">
        <v>99.506678458690118</v>
      </c>
      <c r="AD55" s="8">
        <v>145996.37356608742</v>
      </c>
      <c r="AE55" s="6">
        <v>261</v>
      </c>
      <c r="AF55" s="9">
        <v>103.05088794376549</v>
      </c>
      <c r="AG55" s="10">
        <v>158207.54106095573</v>
      </c>
      <c r="AH55" s="6">
        <v>399</v>
      </c>
      <c r="AI55" s="7">
        <v>102.24312101389839</v>
      </c>
      <c r="AJ55" s="8">
        <v>177400.63783295976</v>
      </c>
    </row>
    <row r="56" spans="1:36" ht="15.75" x14ac:dyDescent="0.25">
      <c r="A56" s="11" t="s">
        <v>88</v>
      </c>
      <c r="B56" s="6">
        <v>553</v>
      </c>
      <c r="C56" s="7">
        <v>104.50752513385866</v>
      </c>
      <c r="D56" s="13">
        <v>173472.05573435451</v>
      </c>
      <c r="E56" s="12">
        <f t="shared" si="1"/>
        <v>95930046.821098045</v>
      </c>
      <c r="F56" s="6">
        <v>693</v>
      </c>
      <c r="G56" s="9">
        <v>103.76303721988155</v>
      </c>
      <c r="H56" s="10">
        <v>188601.80434808999</v>
      </c>
      <c r="I56" s="17">
        <f t="shared" si="0"/>
        <v>130701050.41322637</v>
      </c>
      <c r="J56" s="6">
        <v>695</v>
      </c>
      <c r="K56" s="7">
        <v>104.93674482957928</v>
      </c>
      <c r="L56" s="8">
        <v>159979.00545858828</v>
      </c>
      <c r="M56" s="6">
        <v>1248</v>
      </c>
      <c r="N56" s="9">
        <v>104.78518588515774</v>
      </c>
      <c r="O56" s="10">
        <v>156539.81089898967</v>
      </c>
      <c r="P56" s="6">
        <v>466</v>
      </c>
      <c r="Q56" s="7">
        <v>100.75739536974595</v>
      </c>
      <c r="R56" s="8">
        <v>183701.21027417894</v>
      </c>
      <c r="S56" s="6">
        <v>339</v>
      </c>
      <c r="T56" s="9">
        <v>110.56783017747667</v>
      </c>
      <c r="U56" s="10">
        <v>156296.33273944803</v>
      </c>
      <c r="V56" s="6">
        <v>262</v>
      </c>
      <c r="W56" s="7">
        <v>102.11737675960424</v>
      </c>
      <c r="X56" s="8">
        <v>160177.90361811093</v>
      </c>
      <c r="Y56" s="6">
        <v>575</v>
      </c>
      <c r="Z56" s="9">
        <v>102.64834874130587</v>
      </c>
      <c r="AA56" s="10">
        <v>199079.38958728471</v>
      </c>
      <c r="AB56" s="6">
        <v>445</v>
      </c>
      <c r="AC56" s="7">
        <v>103.18986050768575</v>
      </c>
      <c r="AD56" s="8">
        <v>151400.34474336181</v>
      </c>
      <c r="AE56" s="6">
        <v>317</v>
      </c>
      <c r="AF56" s="9">
        <v>106.3316795119176</v>
      </c>
      <c r="AG56" s="10">
        <v>163244.33382507149</v>
      </c>
      <c r="AH56" s="6">
        <v>410</v>
      </c>
      <c r="AI56" s="7">
        <v>106.28288720910346</v>
      </c>
      <c r="AJ56" s="8">
        <v>184409.98078550905</v>
      </c>
    </row>
    <row r="57" spans="1:36" ht="15.75" x14ac:dyDescent="0.25">
      <c r="A57" s="11" t="s">
        <v>89</v>
      </c>
      <c r="B57" s="6">
        <v>574</v>
      </c>
      <c r="C57" s="7">
        <v>103.33771629950574</v>
      </c>
      <c r="D57" s="13">
        <v>171530.28988494328</v>
      </c>
      <c r="E57" s="12">
        <f t="shared" si="1"/>
        <v>98458386.393957451</v>
      </c>
      <c r="F57" s="6">
        <v>658</v>
      </c>
      <c r="G57" s="9">
        <v>105.20592154873543</v>
      </c>
      <c r="H57" s="10">
        <v>191224.42021573041</v>
      </c>
      <c r="I57" s="17">
        <f t="shared" si="0"/>
        <v>125825668.50195061</v>
      </c>
      <c r="J57" s="6">
        <v>645</v>
      </c>
      <c r="K57" s="7">
        <v>103.18988599937543</v>
      </c>
      <c r="L57" s="8">
        <v>157315.8702642727</v>
      </c>
      <c r="M57" s="6">
        <v>1104</v>
      </c>
      <c r="N57" s="9">
        <v>102.56965568151075</v>
      </c>
      <c r="O57" s="10">
        <v>153230.00449658459</v>
      </c>
      <c r="P57" s="6">
        <v>401</v>
      </c>
      <c r="Q57" s="7">
        <v>100.82980443380995</v>
      </c>
      <c r="R57" s="8">
        <v>183833.2267148041</v>
      </c>
      <c r="S57" s="6">
        <v>382</v>
      </c>
      <c r="T57" s="9">
        <v>107.77172056895678</v>
      </c>
      <c r="U57" s="10">
        <v>152343.81167570181</v>
      </c>
      <c r="V57" s="6">
        <v>272</v>
      </c>
      <c r="W57" s="7">
        <v>102.43930366770518</v>
      </c>
      <c r="X57" s="8">
        <v>160682.86740482532</v>
      </c>
      <c r="Y57" s="6">
        <v>491</v>
      </c>
      <c r="Z57" s="9">
        <v>100.93781918830551</v>
      </c>
      <c r="AA57" s="10">
        <v>195761.93554678644</v>
      </c>
      <c r="AB57" s="6">
        <v>483</v>
      </c>
      <c r="AC57" s="7">
        <v>104.10564360773253</v>
      </c>
      <c r="AD57" s="8">
        <v>152743.98331768569</v>
      </c>
      <c r="AE57" s="6">
        <v>308</v>
      </c>
      <c r="AF57" s="9">
        <v>105.6213603046729</v>
      </c>
      <c r="AG57" s="10">
        <v>162153.8254617872</v>
      </c>
      <c r="AH57" s="6">
        <v>438</v>
      </c>
      <c r="AI57" s="7">
        <v>104.76985069184479</v>
      </c>
      <c r="AJ57" s="8">
        <v>181784.73186348364</v>
      </c>
    </row>
    <row r="58" spans="1:36" ht="15.75" x14ac:dyDescent="0.25">
      <c r="A58" s="11" t="s">
        <v>90</v>
      </c>
      <c r="B58" s="6">
        <v>451</v>
      </c>
      <c r="C58" s="7">
        <v>104.50103200769134</v>
      </c>
      <c r="D58" s="13">
        <v>173461.27779331201</v>
      </c>
      <c r="E58" s="12">
        <f t="shared" si="1"/>
        <v>78231036.284783721</v>
      </c>
      <c r="F58" s="6">
        <v>531</v>
      </c>
      <c r="G58" s="9">
        <v>108.96136881290974</v>
      </c>
      <c r="H58" s="10">
        <v>198050.39745323616</v>
      </c>
      <c r="I58" s="17">
        <f t="shared" si="0"/>
        <v>105164761.0476684</v>
      </c>
      <c r="J58" s="6">
        <v>576</v>
      </c>
      <c r="K58" s="7">
        <v>104.3962521683795</v>
      </c>
      <c r="L58" s="8">
        <v>159155.00926414912</v>
      </c>
      <c r="M58" s="6">
        <v>922</v>
      </c>
      <c r="N58" s="9">
        <v>103.70157012591473</v>
      </c>
      <c r="O58" s="10">
        <v>154920.98468222868</v>
      </c>
      <c r="P58" s="6">
        <v>346</v>
      </c>
      <c r="Q58" s="7">
        <v>95.957383817315218</v>
      </c>
      <c r="R58" s="8">
        <v>174949.8136320191</v>
      </c>
      <c r="S58" s="6">
        <v>319</v>
      </c>
      <c r="T58" s="9">
        <v>106.29753349796415</v>
      </c>
      <c r="U58" s="10">
        <v>150259.93219106132</v>
      </c>
      <c r="V58" s="6">
        <v>243</v>
      </c>
      <c r="W58" s="7">
        <v>103.36131729845692</v>
      </c>
      <c r="X58" s="8">
        <v>162129.10716506522</v>
      </c>
      <c r="Y58" s="6">
        <v>454</v>
      </c>
      <c r="Z58" s="9">
        <v>103.73599369437846</v>
      </c>
      <c r="AA58" s="10">
        <v>201188.80192562711</v>
      </c>
      <c r="AB58" s="6">
        <v>379</v>
      </c>
      <c r="AC58" s="7">
        <v>102.16511239220505</v>
      </c>
      <c r="AD58" s="8">
        <v>149896.83250683415</v>
      </c>
      <c r="AE58" s="6">
        <v>291</v>
      </c>
      <c r="AF58" s="9">
        <v>107.1925700828905</v>
      </c>
      <c r="AG58" s="10">
        <v>164566.00492440746</v>
      </c>
      <c r="AH58" s="6">
        <v>341</v>
      </c>
      <c r="AI58" s="7">
        <v>103.10288542517702</v>
      </c>
      <c r="AJ58" s="8">
        <v>178892.40327824754</v>
      </c>
    </row>
    <row r="59" spans="1:36" ht="15.75" x14ac:dyDescent="0.25">
      <c r="A59" s="11" t="s">
        <v>91</v>
      </c>
      <c r="B59" s="6">
        <v>511</v>
      </c>
      <c r="C59" s="7">
        <v>107.64980067801946</v>
      </c>
      <c r="D59" s="13">
        <v>178687.91935404285</v>
      </c>
      <c r="E59" s="12">
        <f t="shared" si="1"/>
        <v>91309526.789915904</v>
      </c>
      <c r="F59" s="6">
        <v>674</v>
      </c>
      <c r="G59" s="9">
        <v>110.34782210481875</v>
      </c>
      <c r="H59" s="10">
        <v>200570.44312175564</v>
      </c>
      <c r="I59" s="17">
        <f t="shared" si="0"/>
        <v>135184478.6640633</v>
      </c>
      <c r="J59" s="6">
        <v>597</v>
      </c>
      <c r="K59" s="7">
        <v>107.59830198553738</v>
      </c>
      <c r="L59" s="8">
        <v>164036.62385977714</v>
      </c>
      <c r="M59" s="6">
        <v>1113</v>
      </c>
      <c r="N59" s="9">
        <v>106.03431390743839</v>
      </c>
      <c r="O59" s="10">
        <v>158405.89781523321</v>
      </c>
      <c r="P59" s="6">
        <v>412</v>
      </c>
      <c r="Q59" s="7">
        <v>107.12003914486358</v>
      </c>
      <c r="R59" s="8">
        <v>195301.60305669758</v>
      </c>
      <c r="S59" s="6">
        <v>377</v>
      </c>
      <c r="T59" s="9">
        <v>110.74763286574077</v>
      </c>
      <c r="U59" s="10">
        <v>156550.49799481448</v>
      </c>
      <c r="V59" s="6">
        <v>246</v>
      </c>
      <c r="W59" s="7">
        <v>108.83889035092076</v>
      </c>
      <c r="X59" s="8">
        <v>170721.04515152742</v>
      </c>
      <c r="Y59" s="6">
        <v>511</v>
      </c>
      <c r="Z59" s="9">
        <v>106.26666906598015</v>
      </c>
      <c r="AA59" s="10">
        <v>206096.87219075847</v>
      </c>
      <c r="AB59" s="6">
        <v>448</v>
      </c>
      <c r="AC59" s="7">
        <v>106.63559399037351</v>
      </c>
      <c r="AD59" s="8">
        <v>156455.93096671769</v>
      </c>
      <c r="AE59" s="6">
        <v>254</v>
      </c>
      <c r="AF59" s="9">
        <v>109.04120602395078</v>
      </c>
      <c r="AG59" s="10">
        <v>167404.09931047092</v>
      </c>
      <c r="AH59" s="6">
        <v>374</v>
      </c>
      <c r="AI59" s="7">
        <v>110.617177804297</v>
      </c>
      <c r="AJ59" s="8">
        <v>191930.34898745597</v>
      </c>
    </row>
    <row r="60" spans="1:36" ht="15.75" x14ac:dyDescent="0.25">
      <c r="A60" s="11" t="s">
        <v>92</v>
      </c>
      <c r="B60" s="6">
        <v>631</v>
      </c>
      <c r="C60" s="7">
        <v>110.95281089757924</v>
      </c>
      <c r="D60" s="13">
        <v>184170.58648413434</v>
      </c>
      <c r="E60" s="12">
        <f t="shared" si="1"/>
        <v>116211640.07148877</v>
      </c>
      <c r="F60" s="6">
        <v>755</v>
      </c>
      <c r="G60" s="9">
        <v>112.91050369967188</v>
      </c>
      <c r="H60" s="10">
        <v>205228.4252482304</v>
      </c>
      <c r="I60" s="17">
        <f t="shared" si="0"/>
        <v>154947461.06241396</v>
      </c>
      <c r="J60" s="6">
        <v>707</v>
      </c>
      <c r="K60" s="7">
        <v>110.5831702062621</v>
      </c>
      <c r="L60" s="8">
        <v>168587.13903110239</v>
      </c>
      <c r="M60" s="6">
        <v>1264</v>
      </c>
      <c r="N60" s="9">
        <v>111.97250338983767</v>
      </c>
      <c r="O60" s="10">
        <v>167277.02831717205</v>
      </c>
      <c r="P60" s="6">
        <v>495</v>
      </c>
      <c r="Q60" s="7">
        <v>108.59082222689275</v>
      </c>
      <c r="R60" s="8">
        <v>197983.13954568739</v>
      </c>
      <c r="S60" s="6">
        <v>386</v>
      </c>
      <c r="T60" s="9">
        <v>114.51068139233769</v>
      </c>
      <c r="U60" s="10">
        <v>161869.86334442493</v>
      </c>
      <c r="V60" s="6">
        <v>251</v>
      </c>
      <c r="W60" s="7">
        <v>110.69816872952704</v>
      </c>
      <c r="X60" s="8">
        <v>173637.4470644822</v>
      </c>
      <c r="Y60" s="6">
        <v>649</v>
      </c>
      <c r="Z60" s="9">
        <v>109.75963042641561</v>
      </c>
      <c r="AA60" s="10">
        <v>212871.22973293337</v>
      </c>
      <c r="AB60" s="6">
        <v>499</v>
      </c>
      <c r="AC60" s="7">
        <v>108.95427641666176</v>
      </c>
      <c r="AD60" s="8">
        <v>159857.90589878254</v>
      </c>
      <c r="AE60" s="6">
        <v>317</v>
      </c>
      <c r="AF60" s="9">
        <v>110.01254029956146</v>
      </c>
      <c r="AG60" s="10">
        <v>168895.32767694991</v>
      </c>
      <c r="AH60" s="6">
        <v>501</v>
      </c>
      <c r="AI60" s="7">
        <v>110.25950312662228</v>
      </c>
      <c r="AJ60" s="8">
        <v>191309.75255684063</v>
      </c>
    </row>
    <row r="61" spans="1:36" ht="15.75" x14ac:dyDescent="0.25">
      <c r="A61" s="11" t="s">
        <v>93</v>
      </c>
      <c r="B61" s="6">
        <v>613</v>
      </c>
      <c r="C61" s="7">
        <v>112.28601292298509</v>
      </c>
      <c r="D61" s="13">
        <v>186383.56871445826</v>
      </c>
      <c r="E61" s="12">
        <f t="shared" si="1"/>
        <v>114253127.62196292</v>
      </c>
      <c r="F61" s="6">
        <v>818</v>
      </c>
      <c r="G61" s="9">
        <v>113.86015667198859</v>
      </c>
      <c r="H61" s="10">
        <v>206954.53378246614</v>
      </c>
      <c r="I61" s="17">
        <f t="shared" si="0"/>
        <v>169288808.63405731</v>
      </c>
      <c r="J61" s="6">
        <v>761</v>
      </c>
      <c r="K61" s="7">
        <v>109.75396892941973</v>
      </c>
      <c r="L61" s="8">
        <v>167322.99846899835</v>
      </c>
      <c r="M61" s="6">
        <v>1260</v>
      </c>
      <c r="N61" s="9">
        <v>113.33920447885539</v>
      </c>
      <c r="O61" s="10">
        <v>169318.75900861493</v>
      </c>
      <c r="P61" s="6">
        <v>482</v>
      </c>
      <c r="Q61" s="7">
        <v>108.30930320220789</v>
      </c>
      <c r="R61" s="8">
        <v>197469.8731461339</v>
      </c>
      <c r="S61" s="6">
        <v>417</v>
      </c>
      <c r="T61" s="9">
        <v>118.05297908310486</v>
      </c>
      <c r="U61" s="10">
        <v>166877.18000831932</v>
      </c>
      <c r="V61" s="6">
        <v>327</v>
      </c>
      <c r="W61" s="7">
        <v>112.81509514199367</v>
      </c>
      <c r="X61" s="8">
        <v>176957.98707072382</v>
      </c>
      <c r="Y61" s="6">
        <v>679</v>
      </c>
      <c r="Z61" s="9">
        <v>112.30378268028373</v>
      </c>
      <c r="AA61" s="10">
        <v>217805.43748130769</v>
      </c>
      <c r="AB61" s="6">
        <v>542</v>
      </c>
      <c r="AC61" s="7">
        <v>109.24964684154502</v>
      </c>
      <c r="AD61" s="8">
        <v>160291.27390542877</v>
      </c>
      <c r="AE61" s="6">
        <v>377</v>
      </c>
      <c r="AF61" s="9">
        <v>111.33266142558232</v>
      </c>
      <c r="AG61" s="10">
        <v>170922.02653823822</v>
      </c>
      <c r="AH61" s="6">
        <v>528</v>
      </c>
      <c r="AI61" s="7">
        <v>112.12247716488066</v>
      </c>
      <c r="AJ61" s="8">
        <v>194542.17327498712</v>
      </c>
    </row>
    <row r="62" spans="1:36" ht="15.75" x14ac:dyDescent="0.25">
      <c r="A62" s="11" t="s">
        <v>94</v>
      </c>
      <c r="B62" s="6">
        <v>599</v>
      </c>
      <c r="C62" s="7">
        <v>114.33954502478983</v>
      </c>
      <c r="D62" s="13">
        <v>189792.22694036379</v>
      </c>
      <c r="E62" s="12">
        <f t="shared" si="1"/>
        <v>113685543.93727791</v>
      </c>
      <c r="F62" s="6">
        <v>838</v>
      </c>
      <c r="G62" s="9">
        <v>115.18143375945679</v>
      </c>
      <c r="H62" s="10">
        <v>209356.11385777011</v>
      </c>
      <c r="I62" s="17">
        <f t="shared" si="0"/>
        <v>175440423.41281134</v>
      </c>
      <c r="J62" s="6">
        <v>716</v>
      </c>
      <c r="K62" s="7">
        <v>111.40589064504893</v>
      </c>
      <c r="L62" s="8">
        <v>169841.39937414357</v>
      </c>
      <c r="M62" s="6">
        <v>1341</v>
      </c>
      <c r="N62" s="9">
        <v>113.82832189410483</v>
      </c>
      <c r="O62" s="10">
        <v>170049.45721794452</v>
      </c>
      <c r="P62" s="6">
        <v>507</v>
      </c>
      <c r="Q62" s="7">
        <v>109.73921471717965</v>
      </c>
      <c r="R62" s="8">
        <v>200076.89246140461</v>
      </c>
      <c r="S62" s="6">
        <v>378</v>
      </c>
      <c r="T62" s="9">
        <v>119.03579972681413</v>
      </c>
      <c r="U62" s="10">
        <v>168266.47436370113</v>
      </c>
      <c r="V62" s="6">
        <v>254</v>
      </c>
      <c r="W62" s="7">
        <v>111.93180682886864</v>
      </c>
      <c r="X62" s="8">
        <v>175572.49054920807</v>
      </c>
      <c r="Y62" s="6">
        <v>657</v>
      </c>
      <c r="Z62" s="9">
        <v>113.89185421188672</v>
      </c>
      <c r="AA62" s="10">
        <v>220885.39263898131</v>
      </c>
      <c r="AB62" s="6">
        <v>470</v>
      </c>
      <c r="AC62" s="7">
        <v>112.14304980518671</v>
      </c>
      <c r="AD62" s="8">
        <v>164536.47982025013</v>
      </c>
      <c r="AE62" s="6">
        <v>306</v>
      </c>
      <c r="AF62" s="9">
        <v>112.07953933853699</v>
      </c>
      <c r="AG62" s="10">
        <v>172068.66118097681</v>
      </c>
      <c r="AH62" s="6">
        <v>457</v>
      </c>
      <c r="AI62" s="7">
        <v>112.85384985408785</v>
      </c>
      <c r="AJ62" s="8">
        <v>195811.16800316374</v>
      </c>
    </row>
    <row r="63" spans="1:36" ht="15.75" x14ac:dyDescent="0.25">
      <c r="A63" s="11" t="s">
        <v>95</v>
      </c>
      <c r="B63" s="6">
        <v>437</v>
      </c>
      <c r="C63" s="7">
        <v>114.14799842550656</v>
      </c>
      <c r="D63" s="13">
        <v>189474.27871315207</v>
      </c>
      <c r="E63" s="12">
        <f t="shared" si="1"/>
        <v>82800259.797647461</v>
      </c>
      <c r="F63" s="6">
        <v>590</v>
      </c>
      <c r="G63" s="9">
        <v>116.4493032810275</v>
      </c>
      <c r="H63" s="10">
        <v>211660.61925634925</v>
      </c>
      <c r="I63" s="17">
        <f t="shared" si="0"/>
        <v>124879765.36124606</v>
      </c>
      <c r="J63" s="6">
        <v>558</v>
      </c>
      <c r="K63" s="7">
        <v>112.7247288267273</v>
      </c>
      <c r="L63" s="8">
        <v>171852.00510627645</v>
      </c>
      <c r="M63" s="6">
        <v>905</v>
      </c>
      <c r="N63" s="9">
        <v>114.72973974568335</v>
      </c>
      <c r="O63" s="10">
        <v>171396.09585617459</v>
      </c>
      <c r="P63" s="6">
        <v>359</v>
      </c>
      <c r="Q63" s="7">
        <v>108.94074757840488</v>
      </c>
      <c r="R63" s="8">
        <v>198621.12458234403</v>
      </c>
      <c r="S63" s="6">
        <v>318</v>
      </c>
      <c r="T63" s="9">
        <v>119.60694261396006</v>
      </c>
      <c r="U63" s="10">
        <v>169073.8297996163</v>
      </c>
      <c r="V63" s="6">
        <v>182</v>
      </c>
      <c r="W63" s="7">
        <v>116.12049026253213</v>
      </c>
      <c r="X63" s="8">
        <v>182142.7193644623</v>
      </c>
      <c r="Y63" s="6">
        <v>470</v>
      </c>
      <c r="Z63" s="9">
        <v>112.70876553112052</v>
      </c>
      <c r="AA63" s="10">
        <v>218590.87377645058</v>
      </c>
      <c r="AB63" s="6">
        <v>379</v>
      </c>
      <c r="AC63" s="7">
        <v>111.69814830437281</v>
      </c>
      <c r="AD63" s="8">
        <v>163883.71955612468</v>
      </c>
      <c r="AE63" s="6">
        <v>253</v>
      </c>
      <c r="AF63" s="9">
        <v>115.72847368342028</v>
      </c>
      <c r="AG63" s="10">
        <v>177670.64037509964</v>
      </c>
      <c r="AH63" s="6">
        <v>312</v>
      </c>
      <c r="AI63" s="7">
        <v>112.18797519424241</v>
      </c>
      <c r="AJ63" s="8">
        <v>194655.81800795643</v>
      </c>
    </row>
    <row r="64" spans="1:36" ht="15.75" x14ac:dyDescent="0.25">
      <c r="A64" s="11" t="s">
        <v>96</v>
      </c>
      <c r="B64" s="6">
        <v>530</v>
      </c>
      <c r="C64" s="7">
        <v>118.23772704848172</v>
      </c>
      <c r="D64" s="13">
        <v>196262.8198322191</v>
      </c>
      <c r="E64" s="12">
        <f t="shared" si="1"/>
        <v>104019294.51107612</v>
      </c>
      <c r="F64" s="6">
        <v>738</v>
      </c>
      <c r="G64" s="9">
        <v>122.64337221263159</v>
      </c>
      <c r="H64" s="10">
        <v>222919.08477602605</v>
      </c>
      <c r="I64" s="17">
        <f t="shared" si="0"/>
        <v>164514284.56470722</v>
      </c>
      <c r="J64" s="6">
        <v>670</v>
      </c>
      <c r="K64" s="7">
        <v>114.97000921526667</v>
      </c>
      <c r="L64" s="8">
        <v>175274.99792082916</v>
      </c>
      <c r="M64" s="6">
        <v>1159</v>
      </c>
      <c r="N64" s="9">
        <v>118.88860968895956</v>
      </c>
      <c r="O64" s="10">
        <v>177609.08015328183</v>
      </c>
      <c r="P64" s="6">
        <v>454</v>
      </c>
      <c r="Q64" s="7">
        <v>113.67228929098509</v>
      </c>
      <c r="R64" s="8">
        <v>207247.68679025053</v>
      </c>
      <c r="S64" s="6">
        <v>315</v>
      </c>
      <c r="T64" s="9">
        <v>129.39518511337488</v>
      </c>
      <c r="U64" s="10">
        <v>182910.28118124595</v>
      </c>
      <c r="V64" s="6">
        <v>203</v>
      </c>
      <c r="W64" s="7">
        <v>120.11149853273541</v>
      </c>
      <c r="X64" s="8">
        <v>188402.88152617376</v>
      </c>
      <c r="Y64" s="6">
        <v>515</v>
      </c>
      <c r="Z64" s="9">
        <v>116.6897431304986</v>
      </c>
      <c r="AA64" s="10">
        <v>226311.70514064695</v>
      </c>
      <c r="AB64" s="6">
        <v>458</v>
      </c>
      <c r="AC64" s="7">
        <v>116.37054618006648</v>
      </c>
      <c r="AD64" s="8">
        <v>170739.06993335951</v>
      </c>
      <c r="AE64" s="6">
        <v>283</v>
      </c>
      <c r="AF64" s="9">
        <v>122.28729793564712</v>
      </c>
      <c r="AG64" s="10">
        <v>187739.99036228281</v>
      </c>
      <c r="AH64" s="6">
        <v>443</v>
      </c>
      <c r="AI64" s="7">
        <v>119.24086650102271</v>
      </c>
      <c r="AJ64" s="8">
        <v>206893.19304093576</v>
      </c>
    </row>
    <row r="65" spans="2:9" ht="15.75" x14ac:dyDescent="0.25">
      <c r="B65" s="14">
        <f>SUM(B2:B64)</f>
        <v>30205</v>
      </c>
      <c r="D65" s="14">
        <f>AVERAGE(D2:D64)</f>
        <v>133740.16680215366</v>
      </c>
      <c r="E65" s="15">
        <f>SUM(E2:E64)</f>
        <v>4155767687.4301248</v>
      </c>
      <c r="F65" s="14">
        <f>SUM(F2:F64)</f>
        <v>38575</v>
      </c>
      <c r="I65" s="18">
        <f>SUM(I2:I64)</f>
        <v>6003539022.8012047</v>
      </c>
    </row>
    <row r="66" spans="2:9" ht="15.75" x14ac:dyDescent="0.25">
      <c r="E66" s="16">
        <f>E65/B65</f>
        <v>137585.4225270692</v>
      </c>
      <c r="I66" s="17">
        <f>I65/F65</f>
        <v>155632.89754507336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Tiarnán Healy (2306422)</dc:creator>
  <cp:lastModifiedBy>Tiarnán Healy (2306422)</cp:lastModifiedBy>
  <dcterms:created xsi:type="dcterms:W3CDTF">2025-12-10T19:45:34Z</dcterms:created>
  <dcterms:modified xsi:type="dcterms:W3CDTF">2025-12-11T12:13:31Z</dcterms:modified>
</cp:coreProperties>
</file>